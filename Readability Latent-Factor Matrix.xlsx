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atrix" sheetId="1" state="visible" r:id="rId1"/>
    <sheet xmlns:r="http://schemas.openxmlformats.org/officeDocument/2006/relationships" name="Coverage Summary" sheetId="2" state="visible" r:id="rId2"/>
    <sheet xmlns:r="http://schemas.openxmlformats.org/officeDocument/2006/relationships" name="Dimension Notes" sheetId="3" state="visible" r:id="rId3"/>
    <sheet xmlns:r="http://schemas.openxmlformats.org/officeDocument/2006/relationships" name="Missing Innovations" sheetId="4" state="visible" r:id="rId4"/>
  </sheets>
  <definedNames>
    <definedName name="_xlnm._FilterDatabase" localSheetId="0" hidden="1">'Matrix'!$A$1:$V$64</definedName>
    <definedName name="_xlnm._FilterDatabase" localSheetId="2" hidden="1">'Dimension Notes'!$A$1:$F$106</definedName>
    <definedName name="_xlnm._FilterDatabase" localSheetId="3" hidden="1">'Missing Innovations'!$A$1:$D$12</definedName>
  </definedNames>
  <calcPr calcId="124519" fullCalcOnLoad="1"/>
</workbook>
</file>

<file path=xl/styles.xml><?xml version="1.0" encoding="utf-8"?>
<styleSheet xmlns="http://schemas.openxmlformats.org/spreadsheetml/2006/main">
  <numFmts count="1">
    <numFmt numFmtId="164" formatCode="0.0%"/>
  </numFmts>
  <fonts count="7">
    <font>
      <name val="Calibri"/>
      <family val="2"/>
      <color theme="1"/>
      <sz val="11"/>
      <scheme val="minor"/>
    </font>
    <font>
      <name val="Arial"/>
      <b val="1"/>
      <color rgb="00FFFFFF"/>
      <sz val="10"/>
    </font>
    <font>
      <color rgb="009A9A9A"/>
    </font>
    <font>
      <color rgb="00000000"/>
    </font>
    <font>
      <b val="1"/>
      <color rgb="00FFFFFF"/>
    </font>
    <font>
      <name val="Arial"/>
      <sz val="10"/>
    </font>
    <font>
      <name val="Arial"/>
      <b val="1"/>
      <sz val="10"/>
    </font>
  </fonts>
  <fills count="7">
    <fill>
      <patternFill/>
    </fill>
    <fill>
      <patternFill patternType="gray125"/>
    </fill>
    <fill>
      <patternFill patternType="solid">
        <fgColor rgb="001F4E79"/>
      </patternFill>
    </fill>
    <fill>
      <patternFill patternType="solid">
        <fgColor rgb="00EDEDED"/>
      </patternFill>
    </fill>
    <fill>
      <patternFill patternType="solid">
        <fgColor rgb="00F2C94C"/>
      </patternFill>
    </fill>
    <fill>
      <patternFill patternType="solid">
        <fgColor rgb="004C9A2A"/>
      </patternFill>
    </fill>
    <fill>
      <patternFill patternType="solid">
        <fgColor rgb="00F2994A"/>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12">
    <xf numFmtId="0" fontId="0" fillId="0" borderId="0" pivotButton="0" quotePrefix="0" xfId="0"/>
    <xf numFmtId="0" fontId="1" fillId="2" borderId="1" applyAlignment="1" pivotButton="0" quotePrefix="0" xfId="0">
      <alignment horizontal="center" vertical="center" wrapText="1"/>
    </xf>
    <xf numFmtId="0" fontId="5" fillId="0" borderId="1" applyAlignment="1" pivotButton="0" quotePrefix="0" xfId="0">
      <alignment horizontal="left" vertical="top" wrapText="1"/>
    </xf>
    <xf numFmtId="0" fontId="2" fillId="3" borderId="1" applyAlignment="1" pivotButton="0" quotePrefix="0" xfId="0">
      <alignment horizontal="center" vertical="center"/>
    </xf>
    <xf numFmtId="0" fontId="3" fillId="4" borderId="1" applyAlignment="1" pivotButton="0" quotePrefix="0" xfId="0">
      <alignment horizontal="center" vertical="center"/>
    </xf>
    <xf numFmtId="0" fontId="4" fillId="5" borderId="1" applyAlignment="1" pivotButton="0" quotePrefix="0" xfId="0">
      <alignment horizontal="center" vertical="center"/>
    </xf>
    <xf numFmtId="0" fontId="3" fillId="6" borderId="1" applyAlignment="1" pivotButton="0" quotePrefix="0" xfId="0">
      <alignment horizontal="center" vertical="center"/>
    </xf>
    <xf numFmtId="0" fontId="5" fillId="0" borderId="1" applyAlignment="1" pivotButton="0" quotePrefix="0" xfId="0">
      <alignment horizontal="left"/>
    </xf>
    <xf numFmtId="0" fontId="5" fillId="0" borderId="1" applyAlignment="1" pivotButton="0" quotePrefix="0" xfId="0">
      <alignment horizontal="center"/>
    </xf>
    <xf numFmtId="164" fontId="5" fillId="0" borderId="1" applyAlignment="1" pivotButton="0" quotePrefix="0" xfId="0">
      <alignment horizontal="center"/>
    </xf>
    <xf numFmtId="0" fontId="6" fillId="0" borderId="0" pivotButton="0" quotePrefix="0" xfId="0"/>
    <xf numFmtId="0" fontId="0"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64"/>
  <sheetViews>
    <sheetView workbookViewId="0">
      <pane xSplit="5" ySplit="1" topLeftCell="F2" activePane="bottomRight" state="frozen"/>
      <selection pane="topRight"/>
      <selection pane="bottomLeft"/>
      <selection pane="bottomRight" activeCell="A1" sqref="A1"/>
    </sheetView>
  </sheetViews>
  <sheetFormatPr baseColWidth="8" defaultRowHeight="15"/>
  <cols>
    <col width="14" customWidth="1" min="1" max="1"/>
    <col width="26" customWidth="1" min="2" max="2"/>
    <col width="38" customWidth="1" min="3" max="3"/>
    <col width="20" customWidth="1" min="4" max="4"/>
    <col width="16" customWidth="1" min="5" max="5"/>
    <col width="5" customWidth="1" min="6" max="6"/>
    <col width="5" customWidth="1" min="7" max="7"/>
    <col width="5" customWidth="1" min="8" max="8"/>
    <col width="5" customWidth="1" min="9" max="9"/>
    <col width="5" customWidth="1" min="10" max="10"/>
    <col width="5" customWidth="1" min="11" max="11"/>
    <col width="5" customWidth="1" min="12" max="12"/>
    <col width="5" customWidth="1" min="13" max="13"/>
    <col width="5" customWidth="1" min="14" max="14"/>
    <col width="5" customWidth="1" min="15" max="15"/>
    <col width="5" customWidth="1" min="16" max="16"/>
    <col width="5" customWidth="1" min="17" max="17"/>
    <col width="26" customWidth="1" min="18" max="18"/>
    <col width="30" customWidth="1" min="19" max="19"/>
    <col width="26" customWidth="1" min="20" max="20"/>
    <col width="42" customWidth="1" min="21" max="21"/>
    <col width="42" customWidth="1" min="22" max="22"/>
  </cols>
  <sheetData>
    <row r="1" ht="42" customHeight="1">
      <c r="A1" s="1" t="inlineStr">
        <is>
          <t>Folder</t>
        </is>
      </c>
      <c r="B1" s="1" t="inlineStr">
        <is>
          <t>File(s)</t>
        </is>
      </c>
      <c r="C1" s="1" t="inlineStr">
        <is>
          <t>Title</t>
        </is>
      </c>
      <c r="D1" s="1" t="inlineStr">
        <is>
          <t>Authors/Year</t>
        </is>
      </c>
      <c r="E1" s="1" t="inlineStr">
        <is>
          <t>Dimensions Addressed</t>
        </is>
      </c>
      <c r="F1" s="1" t="inlineStr">
        <is>
          <t>V1 Spatial density</t>
        </is>
      </c>
      <c r="G1" s="1" t="inlineStr">
        <is>
          <t>V2 Glyph legibility</t>
        </is>
      </c>
      <c r="H1" s="1" t="inlineStr">
        <is>
          <t>V3 Salience distribution</t>
        </is>
      </c>
      <c r="I1" s="1" t="inlineStr">
        <is>
          <t>V4 Temporal presentation</t>
        </is>
      </c>
      <c r="J1" s="1" t="inlineStr">
        <is>
          <t>V5 Layout-structure mapping</t>
        </is>
      </c>
      <c r="K1" s="1" t="inlineStr">
        <is>
          <t>V6 Navigation structure</t>
        </is>
      </c>
      <c r="L1" s="1" t="inlineStr">
        <is>
          <t>L1 Lexical sophistication</t>
        </is>
      </c>
      <c r="M1" s="1" t="inlineStr">
        <is>
          <t>L2 Syntactic complexity</t>
        </is>
      </c>
      <c r="N1" s="1" t="inlineStr">
        <is>
          <t>L3 Cohesion</t>
        </is>
      </c>
      <c r="O1" s="1" t="inlineStr">
        <is>
          <t>L4 Compression</t>
        </is>
      </c>
      <c r="P1" s="1" t="inlineStr">
        <is>
          <t>L5 Rhetorical scaffolding</t>
        </is>
      </c>
      <c r="Q1" s="1" t="inlineStr">
        <is>
          <t>L6 Narrativity/genre</t>
        </is>
      </c>
      <c r="R1" s="1" t="inlineStr">
        <is>
          <t>Mediating Mechanisms</t>
        </is>
      </c>
      <c r="S1" s="1" t="inlineStr">
        <is>
          <t>Moderators Studied</t>
        </is>
      </c>
      <c r="T1" s="1" t="inlineStr">
        <is>
          <t>Adaptation Policy</t>
        </is>
      </c>
      <c r="U1" s="1" t="inlineStr">
        <is>
          <t>Key Finding</t>
        </is>
      </c>
      <c r="V1" s="1" t="inlineStr">
        <is>
          <t>Gap Note</t>
        </is>
      </c>
    </row>
    <row r="2" ht="60" customHeight="1">
      <c r="A2" s="2" t="inlineStr">
        <is>
          <t>Comprehension</t>
        </is>
      </c>
      <c r="B2" s="2" t="inlineStr">
        <is>
          <t>18_63.pdf</t>
        </is>
      </c>
      <c r="C2" s="2" t="inlineStr">
        <is>
          <t>An Analysis of Concept Mapping Style in EFL Reading Comprehension from the Viewpoint of Paragraph Structure of Text</t>
        </is>
      </c>
      <c r="D2" s="2" t="inlineStr">
        <is>
          <t>Andoko et al., 2019</t>
        </is>
      </c>
      <c r="E2" s="2" t="inlineStr">
        <is>
          <t>L5, L3</t>
        </is>
      </c>
      <c r="F2" s="3" t="inlineStr">
        <is>
          <t>—</t>
        </is>
      </c>
      <c r="G2" s="3" t="inlineStr">
        <is>
          <t>—</t>
        </is>
      </c>
      <c r="H2" s="3" t="inlineStr">
        <is>
          <t>—</t>
        </is>
      </c>
      <c r="I2" s="3" t="inlineStr">
        <is>
          <t>—</t>
        </is>
      </c>
      <c r="J2" s="4" t="inlineStr">
        <is>
          <t>M</t>
        </is>
      </c>
      <c r="K2" s="3" t="inlineStr">
        <is>
          <t>—</t>
        </is>
      </c>
      <c r="L2" s="3" t="inlineStr">
        <is>
          <t>—</t>
        </is>
      </c>
      <c r="M2" s="3" t="inlineStr">
        <is>
          <t>—</t>
        </is>
      </c>
      <c r="N2" s="4" t="inlineStr">
        <is>
          <t>M</t>
        </is>
      </c>
      <c r="O2" s="3" t="inlineStr">
        <is>
          <t>—</t>
        </is>
      </c>
      <c r="P2" s="5" t="inlineStr">
        <is>
          <t>H</t>
        </is>
      </c>
      <c r="Q2" s="3" t="inlineStr">
        <is>
          <t>—</t>
        </is>
      </c>
      <c r="R2" s="2" t="inlineStr">
        <is>
          <t>Macrostructure construction (paragraph-level mental model building via concept mapping)</t>
        </is>
      </c>
      <c r="S2" s="2" t="inlineStr">
        <is>
          <t>Reader proficiency (TOEIC-based grouping); EFL/L2 learners</t>
        </is>
      </c>
      <c r="T2" s="2" t="inlineStr">
        <is>
          <t>Reader-side (concept-mapping strategy/tool); fixed population default, not individuated</t>
        </is>
      </c>
      <c r="U2" s="2" t="inlineStr">
        <is>
          <t>Kit-Build concept mapping led learners to deviate from sentence order and build maps more aligned with paragraph boundaries than Scratch-Build mapping.</t>
        </is>
      </c>
      <c r="V2" s="2" t="inlineStr">
        <is>
          <t>No text-layout/typographic (V1-V6) or lexical/syntactic (L1-L2) variables manipulated, so effect cannot be linked to specific text-design levers.</t>
        </is>
      </c>
    </row>
    <row r="3" ht="60" customHeight="1">
      <c r="A3" s="2" t="inlineStr">
        <is>
          <t>Comprehension</t>
        </is>
      </c>
      <c r="B3" s="2" t="inlineStr">
        <is>
          <t>3320435.3320447.pdf</t>
        </is>
      </c>
      <c r="C3" s="2" t="inlineStr">
        <is>
          <t>Impact of English Reading Comprehension Abilities on Processing Magazine Style Narrative Visualizations and Implications for Personalization</t>
        </is>
      </c>
      <c r="D3" s="2" t="inlineStr">
        <is>
          <t>Toker et al., 2019</t>
        </is>
      </c>
      <c r="E3" s="2" t="inlineStr">
        <is>
          <t>V3</t>
        </is>
      </c>
      <c r="F3" s="3" t="inlineStr">
        <is>
          <t>—</t>
        </is>
      </c>
      <c r="G3" s="3" t="inlineStr">
        <is>
          <t>—</t>
        </is>
      </c>
      <c r="H3" s="4" t="inlineStr">
        <is>
          <t>M</t>
        </is>
      </c>
      <c r="I3" s="3" t="inlineStr">
        <is>
          <t>—</t>
        </is>
      </c>
      <c r="J3" s="6" t="inlineStr">
        <is>
          <t>L</t>
        </is>
      </c>
      <c r="K3" s="3" t="inlineStr">
        <is>
          <t>—</t>
        </is>
      </c>
      <c r="L3" s="3" t="inlineStr">
        <is>
          <t>—</t>
        </is>
      </c>
      <c r="M3" s="3" t="inlineStr">
        <is>
          <t>—</t>
        </is>
      </c>
      <c r="N3" s="3" t="inlineStr">
        <is>
          <t>—</t>
        </is>
      </c>
      <c r="O3" s="3" t="inlineStr">
        <is>
          <t>—</t>
        </is>
      </c>
      <c r="P3" s="3" t="inlineStr">
        <is>
          <t>—</t>
        </is>
      </c>
      <c r="Q3" s="3" t="inlineStr">
        <is>
          <t>—</t>
        </is>
      </c>
      <c r="R3" s="2" t="inlineStr">
        <is>
          <t>Attentional guidance (cuing/split-attention); working-memory load management</t>
        </is>
      </c>
      <c r="S3" s="2" t="inlineStr">
        <is>
          <t>English reading comprehension ability (high vs low); population/culture; reading goal = processing informational text with visualizations</t>
        </is>
      </c>
      <c r="T3" s="2" t="inlineStr">
        <is>
          <t>Theme-based/individuated — personalizing visualization support by reader ability; text-side</t>
        </is>
      </c>
      <c r="U3" s="2" t="inlineStr">
        <is>
          <t>Readers with lower English comprehension ability process magazine-style narrative visualizations differently, supporting ability-based personalization.</t>
        </is>
      </c>
      <c r="V3" s="2" t="inlineStr">
        <is>
          <t>Does not manipulate/measure any typography/layout (V1-V2,V4-V6) or lexical/syntactic properties (L1-L6); focus is multimodal visualization, not core text readability variables.</t>
        </is>
      </c>
    </row>
    <row r="4" ht="60" customHeight="1">
      <c r="A4" s="2" t="inlineStr">
        <is>
          <t>Comprehension</t>
        </is>
      </c>
      <c r="B4" s="2" t="inlineStr">
        <is>
          <t>Britt et al DP 2022 R1.pdf</t>
        </is>
      </c>
      <c r="C4" s="2" t="inlineStr">
        <is>
          <t>Reading Contexts, Goals, and Decisions: Text Comprehension as a Situated Activity</t>
        </is>
      </c>
      <c r="D4" s="2" t="inlineStr">
        <is>
          <t>Britt, Durik &amp; Rouet, 2022</t>
        </is>
      </c>
      <c r="E4" s="2" t="inlineStr">
        <is>
          <t>L6 (low)</t>
        </is>
      </c>
      <c r="F4" s="3" t="inlineStr">
        <is>
          <t>—</t>
        </is>
      </c>
      <c r="G4" s="3" t="inlineStr">
        <is>
          <t>—</t>
        </is>
      </c>
      <c r="H4" s="3" t="inlineStr">
        <is>
          <t>—</t>
        </is>
      </c>
      <c r="I4" s="3" t="inlineStr">
        <is>
          <t>—</t>
        </is>
      </c>
      <c r="J4" s="3" t="inlineStr">
        <is>
          <t>—</t>
        </is>
      </c>
      <c r="K4" s="3" t="inlineStr">
        <is>
          <t>—</t>
        </is>
      </c>
      <c r="L4" s="3" t="inlineStr">
        <is>
          <t>—</t>
        </is>
      </c>
      <c r="M4" s="3" t="inlineStr">
        <is>
          <t>—</t>
        </is>
      </c>
      <c r="N4" s="3" t="inlineStr">
        <is>
          <t>—</t>
        </is>
      </c>
      <c r="O4" s="3" t="inlineStr">
        <is>
          <t>—</t>
        </is>
      </c>
      <c r="P4" s="3" t="inlineStr">
        <is>
          <t>—</t>
        </is>
      </c>
      <c r="Q4" s="6" t="inlineStr">
        <is>
          <t>L</t>
        </is>
      </c>
      <c r="R4" s="2" t="inlineStr">
        <is>
          <t>Macrostructure construction (goal-directed representation building); WM/self-regulatory load management via goal-setting (RESOLV theory)</t>
        </is>
      </c>
      <c r="S4" s="2" t="inlineStr">
        <is>
          <t>Reading goal is the central moderator of the whole theory; disciplinary context (in-school vs out-of-school), source credibility/genre evaluation</t>
        </is>
      </c>
      <c r="T4" s="2" t="inlineStr">
        <is>
          <t>Reader-side (training goal-setting/source evaluation); theme-based rather than individuated</t>
        </is>
      </c>
      <c r="U4" s="2" t="inlineStr">
        <is>
          <t>RESOLV theory: purposeful reading requires readers to construct/manage their own goals; disciplinary strategies often fail to transfer to open-ended web contexts.</t>
        </is>
      </c>
      <c r="V4" s="2" t="inlineStr">
        <is>
          <t>Purely theoretical review with no empirical manipulation of any V/L dimension, so cannot connect goal-based theory to specific text-side levers.</t>
        </is>
      </c>
    </row>
    <row r="5" ht="60" customHeight="1">
      <c r="A5" s="2" t="inlineStr">
        <is>
          <t>Comprehension</t>
        </is>
      </c>
      <c r="B5" s="2" t="inlineStr">
        <is>
          <t>EJ1079769.pdf</t>
        </is>
      </c>
      <c r="C5" s="2" t="inlineStr">
        <is>
          <t>The Effect of Text Typographical Features on Legibility, Comprehension, and Retrieval of EFL Learners</t>
        </is>
      </c>
      <c r="D5" s="2" t="inlineStr">
        <is>
          <t>Soleimani &amp; Mohammadi, 2012</t>
        </is>
      </c>
      <c r="E5" s="2" t="inlineStr">
        <is>
          <t>V1, V2</t>
        </is>
      </c>
      <c r="F5" s="5" t="inlineStr">
        <is>
          <t>H</t>
        </is>
      </c>
      <c r="G5" s="5" t="inlineStr">
        <is>
          <t>H</t>
        </is>
      </c>
      <c r="H5" s="3" t="inlineStr">
        <is>
          <t>—</t>
        </is>
      </c>
      <c r="I5" s="3" t="inlineStr">
        <is>
          <t>—</t>
        </is>
      </c>
      <c r="J5" s="3" t="inlineStr">
        <is>
          <t>—</t>
        </is>
      </c>
      <c r="K5" s="3" t="inlineStr">
        <is>
          <t>—</t>
        </is>
      </c>
      <c r="L5" s="3" t="inlineStr">
        <is>
          <t>—</t>
        </is>
      </c>
      <c r="M5" s="3" t="inlineStr">
        <is>
          <t>—</t>
        </is>
      </c>
      <c r="N5" s="3" t="inlineStr">
        <is>
          <t>—</t>
        </is>
      </c>
      <c r="O5" s="3" t="inlineStr">
        <is>
          <t>—</t>
        </is>
      </c>
      <c r="P5" s="3" t="inlineStr">
        <is>
          <t>—</t>
        </is>
      </c>
      <c r="Q5" s="3" t="inlineStr">
        <is>
          <t>—</t>
        </is>
      </c>
      <c r="R5" s="2" t="inlineStr">
        <is>
          <t>Lexical access facilitation (legibility as ease of letter/word discernment); crowding relief (via spacing)</t>
        </is>
      </c>
      <c r="S5" s="2" t="inlineStr">
        <is>
          <t>EFL/L2 learners (Iranian students); medium = print only</t>
        </is>
      </c>
      <c r="T5" s="2" t="inlineStr">
        <is>
          <t>Fixed population default (single best print format); text-side</t>
        </is>
      </c>
      <c r="U5" s="2" t="inlineStr">
        <is>
          <t>12pt font read significantly faster than 10pt; font type and line spacing had no significant effect on speed, comprehension, or delayed recall.</t>
        </is>
      </c>
      <c r="V5" s="2" t="inlineStr">
        <is>
          <t>Tests only static print with isolated single-variable manipulations; no screen medium, individual reader differences, or reading-goal interaction.</t>
        </is>
      </c>
    </row>
    <row r="6" ht="60" customHeight="1">
      <c r="A6" s="2" t="inlineStr">
        <is>
          <t>Comprehension</t>
        </is>
      </c>
      <c r="B6" s="2" t="inlineStr">
        <is>
          <t>EJ1486502.pdf</t>
        </is>
      </c>
      <c r="C6" s="2" t="inlineStr">
        <is>
          <t>Improving Reading Comprehension of Expository Texts through Text-Structure-Aligned Graphic Organizers for Higher Education Students</t>
        </is>
      </c>
      <c r="D6" s="2" t="inlineStr">
        <is>
          <t>Marginingsih, Muhtarom &amp; Sundari, 2025</t>
        </is>
      </c>
      <c r="E6" s="2" t="inlineStr">
        <is>
          <t>L5, V5</t>
        </is>
      </c>
      <c r="F6" s="3" t="inlineStr">
        <is>
          <t>—</t>
        </is>
      </c>
      <c r="G6" s="3" t="inlineStr">
        <is>
          <t>—</t>
        </is>
      </c>
      <c r="H6" s="3" t="inlineStr">
        <is>
          <t>—</t>
        </is>
      </c>
      <c r="I6" s="3" t="inlineStr">
        <is>
          <t>—</t>
        </is>
      </c>
      <c r="J6" s="4" t="inlineStr">
        <is>
          <t>M</t>
        </is>
      </c>
      <c r="K6" s="3" t="inlineStr">
        <is>
          <t>—</t>
        </is>
      </c>
      <c r="L6" s="3" t="inlineStr">
        <is>
          <t>—</t>
        </is>
      </c>
      <c r="M6" s="3" t="inlineStr">
        <is>
          <t>—</t>
        </is>
      </c>
      <c r="N6" s="6" t="inlineStr">
        <is>
          <t>L</t>
        </is>
      </c>
      <c r="O6" s="3" t="inlineStr">
        <is>
          <t>—</t>
        </is>
      </c>
      <c r="P6" s="5" t="inlineStr">
        <is>
          <t>H</t>
        </is>
      </c>
      <c r="Q6" s="6" t="inlineStr">
        <is>
          <t>L</t>
        </is>
      </c>
      <c r="R6" s="2" t="inlineStr">
        <is>
          <t>Macrostructure construction (organizers build organized relational mental models); WM load management</t>
        </is>
      </c>
      <c r="S6" s="2" t="inlineStr">
        <is>
          <t>Text structure type (cause-effect vs compare-contrast); ESP/STEM university learners; L2/EFL status</t>
        </is>
      </c>
      <c r="T6" s="2" t="inlineStr">
        <is>
          <t>Theme-based (organizer type matched to text-structure theme); reader-side tool applied alongside text</t>
        </is>
      </c>
      <c r="U6" s="2" t="inlineStr">
        <is>
          <t>T-Charts produced significantly higher comprehension/summarization scores than Venn Diagrams for text-structure-aligned expository reading.</t>
        </is>
      </c>
      <c r="V6" s="2" t="inlineStr">
        <is>
          <t>Does not manipulate underlying typography/layout (V1-V4,V6) or lexical/syntactic complexity (L1-L3).</t>
        </is>
      </c>
    </row>
    <row r="7" ht="60" customHeight="1">
      <c r="A7" s="2" t="inlineStr">
        <is>
          <t>Comprehension</t>
        </is>
      </c>
      <c r="B7" s="2" t="inlineStr">
        <is>
          <t>Journal of Educational Psychology 1999.pdf</t>
        </is>
      </c>
      <c r="C7" s="2" t="inlineStr">
        <is>
          <t>The Influence of Reading Purpose on Inference Generation and Comprehension in Reading</t>
        </is>
      </c>
      <c r="D7" s="2" t="inlineStr">
        <is>
          <t>Narvaez, van den Broek &amp; Barron Ruiz, 1999</t>
        </is>
      </c>
      <c r="E7" s="2" t="inlineStr">
        <is>
          <t>L6</t>
        </is>
      </c>
      <c r="F7" s="3" t="inlineStr">
        <is>
          <t>—</t>
        </is>
      </c>
      <c r="G7" s="3" t="inlineStr">
        <is>
          <t>—</t>
        </is>
      </c>
      <c r="H7" s="3" t="inlineStr">
        <is>
          <t>—</t>
        </is>
      </c>
      <c r="I7" s="3" t="inlineStr">
        <is>
          <t>—</t>
        </is>
      </c>
      <c r="J7" s="3" t="inlineStr">
        <is>
          <t>—</t>
        </is>
      </c>
      <c r="K7" s="3" t="inlineStr">
        <is>
          <t>—</t>
        </is>
      </c>
      <c r="L7" s="3" t="inlineStr">
        <is>
          <t>—</t>
        </is>
      </c>
      <c r="M7" s="3" t="inlineStr">
        <is>
          <t>—</t>
        </is>
      </c>
      <c r="N7" s="4" t="inlineStr">
        <is>
          <t>M</t>
        </is>
      </c>
      <c r="O7" s="3" t="inlineStr">
        <is>
          <t>—</t>
        </is>
      </c>
      <c r="P7" s="3" t="inlineStr">
        <is>
          <t>—</t>
        </is>
      </c>
      <c r="Q7" s="5" t="inlineStr">
        <is>
          <t>H</t>
        </is>
      </c>
      <c r="R7" s="2" t="inlineStr">
        <is>
          <t>Macrostructure construction (inference generation for coherence); WM/strategic control over inferencing</t>
        </is>
      </c>
      <c r="S7" s="2" t="inlineStr">
        <is>
          <t>Reading purpose (entertainment vs study); text genre (narrative vs expository)</t>
        </is>
      </c>
      <c r="T7" s="2" t="inlineStr">
        <is>
          <t>n/a — purpose experimentally instructed, not text-side changed</t>
        </is>
      </c>
      <c r="U7" s="2" t="inlineStr">
        <is>
          <t>Reading purpose did not affect offline comprehension scores but affected online reading behavior, especially for expository text.</t>
        </is>
      </c>
      <c r="V7" s="2" t="inlineStr">
        <is>
          <t>No text-design/typographic (V1-V6) or lexical/syntactic (L1-L2) dimensions manipulated.</t>
        </is>
      </c>
    </row>
    <row r="8" ht="60" customHeight="1">
      <c r="A8" s="2" t="inlineStr">
        <is>
          <t>Comprehension</t>
        </is>
      </c>
      <c r="B8" s="2" t="inlineStr">
        <is>
          <t>Kintsch - 1998 - Comprehension.pdf</t>
        </is>
      </c>
      <c r="C8" s="2" t="inlineStr">
        <is>
          <t>Comprehension: A Paradigm for Cognition</t>
        </is>
      </c>
      <c r="D8" s="2" t="inlineStr">
        <is>
          <t>Kintsch, 1998</t>
        </is>
      </c>
      <c r="E8" s="2" t="inlineStr">
        <is>
          <t>L3 (theoretical foundation)</t>
        </is>
      </c>
      <c r="F8" s="3" t="inlineStr">
        <is>
          <t>—</t>
        </is>
      </c>
      <c r="G8" s="3" t="inlineStr">
        <is>
          <t>—</t>
        </is>
      </c>
      <c r="H8" s="3" t="inlineStr">
        <is>
          <t>—</t>
        </is>
      </c>
      <c r="I8" s="3" t="inlineStr">
        <is>
          <t>—</t>
        </is>
      </c>
      <c r="J8" s="6" t="inlineStr">
        <is>
          <t>L</t>
        </is>
      </c>
      <c r="K8" s="3" t="inlineStr">
        <is>
          <t>—</t>
        </is>
      </c>
      <c r="L8" s="6" t="inlineStr">
        <is>
          <t>L</t>
        </is>
      </c>
      <c r="M8" s="6" t="inlineStr">
        <is>
          <t>L</t>
        </is>
      </c>
      <c r="N8" s="5" t="inlineStr">
        <is>
          <t>H</t>
        </is>
      </c>
      <c r="O8" s="3" t="inlineStr">
        <is>
          <t>—</t>
        </is>
      </c>
      <c r="P8" s="6" t="inlineStr">
        <is>
          <t>L</t>
        </is>
      </c>
      <c r="Q8" s="3" t="inlineStr">
        <is>
          <t>—</t>
        </is>
      </c>
      <c r="R8" s="2" t="inlineStr">
        <is>
          <t>Foundational source for macrostructure construction, WM load management, and lexical access facilitation (construction-integration theory)</t>
        </is>
      </c>
      <c r="S8" s="2" t="inlineStr">
        <is>
          <t>Prior knowledge/schema activation, WM capacity — theoretical constructs, not empirically varied here</t>
        </is>
      </c>
      <c r="T8" s="2" t="inlineStr">
        <is>
          <t>n/a — theoretical synthesis, not an intervention</t>
        </is>
      </c>
      <c r="U8" s="2" t="inlineStr">
        <is>
          <t>Presents the construction-integration model: two-stage comprehension process unifying textbase and situation-model levels.</t>
        </is>
      </c>
      <c r="V8" s="2" t="inlineStr">
        <is>
          <t>Theoretical synthesis tests no specific V1-V6 manipulations; motivates but does not validate Layer A levers empirically.</t>
        </is>
      </c>
    </row>
    <row r="9" ht="60" customHeight="1">
      <c r="A9" s="2" t="inlineStr">
        <is>
          <t>Comprehension</t>
        </is>
      </c>
      <c r="B9" s="2" t="inlineStr">
        <is>
          <t>Martín_Calpena,_Beatriz_Yoldi;_Iglesias_Maqueda,_Anna_María;_Morato.pdf</t>
        </is>
      </c>
      <c r="C9" s="2" t="inlineStr">
        <is>
          <t>Impact of the Layout on Web Comprehension</t>
        </is>
      </c>
      <c r="D9" s="2" t="inlineStr">
        <is>
          <t>Yoldi Martín-Calpena, Iglesias Maqueda &amp; Morato Lara, 2022</t>
        </is>
      </c>
      <c r="E9" s="2" t="inlineStr">
        <is>
          <t>V5, V6, V3</t>
        </is>
      </c>
      <c r="F9" s="6" t="inlineStr">
        <is>
          <t>L</t>
        </is>
      </c>
      <c r="G9" s="6" t="inlineStr">
        <is>
          <t>L</t>
        </is>
      </c>
      <c r="H9" s="4" t="inlineStr">
        <is>
          <t>M</t>
        </is>
      </c>
      <c r="I9" s="3" t="inlineStr">
        <is>
          <t>—</t>
        </is>
      </c>
      <c r="J9" s="5" t="inlineStr">
        <is>
          <t>H</t>
        </is>
      </c>
      <c r="K9" s="4" t="inlineStr">
        <is>
          <t>M</t>
        </is>
      </c>
      <c r="L9" s="3" t="inlineStr">
        <is>
          <t>—</t>
        </is>
      </c>
      <c r="M9" s="3" t="inlineStr">
        <is>
          <t>—</t>
        </is>
      </c>
      <c r="N9" s="3" t="inlineStr">
        <is>
          <t>—</t>
        </is>
      </c>
      <c r="O9" s="3" t="inlineStr">
        <is>
          <t>—</t>
        </is>
      </c>
      <c r="P9" s="4" t="inlineStr">
        <is>
          <t>M</t>
        </is>
      </c>
      <c r="Q9" s="3" t="inlineStr">
        <is>
          <t>—</t>
        </is>
      </c>
      <c r="R9" s="2" t="inlineStr">
        <is>
          <t>Attentional guidance (bold/italic salience); macrostructure construction (headings/structure)</t>
        </is>
      </c>
      <c r="S9" s="2" t="inlineStr">
        <is>
          <t>Accessibility target populations (cognitive disabilities, elderly, low literacy, non-native speakers); medium = web/screen</t>
        </is>
      </c>
      <c r="T9" s="2" t="inlineStr">
        <is>
          <t>Theme-based (ML model flags easy/difficult page templates); text-side (design/structure changes)</t>
        </is>
      </c>
      <c r="U9" s="2" t="inlineStr">
        <is>
          <t>An ML classifier trained on HTML/CSS structural features from 640 public-administration web pages can predict page comprehension difficulty.</t>
        </is>
      </c>
      <c r="V9" s="2" t="inlineStr">
        <is>
          <t>Comprehension-difficulty labels are expert-judged rather than measured via reader comprehension tests; no lexical/syntactic properties tested.</t>
        </is>
      </c>
    </row>
    <row r="10" ht="60" customHeight="1">
      <c r="A10" s="2" t="inlineStr">
        <is>
          <t>Comprehension</t>
        </is>
      </c>
      <c r="B10" s="2" t="inlineStr">
        <is>
          <t>The effects of interletter and line spacing on reading speed, comprehension, and perceived comfortability.pdf</t>
        </is>
      </c>
      <c r="C10" s="2" t="inlineStr">
        <is>
          <t>The Effects of Interletter and Line Spacing on Reading Speed, Comprehension, and Perceived Comfortability</t>
        </is>
      </c>
      <c r="D10" s="2" t="inlineStr">
        <is>
          <t>Kristjánsdóttir &amp; Gunnarsson, 2024</t>
        </is>
      </c>
      <c r="E10" s="2" t="inlineStr">
        <is>
          <t>V1</t>
        </is>
      </c>
      <c r="F10" s="5" t="inlineStr">
        <is>
          <t>H</t>
        </is>
      </c>
      <c r="G10" s="3" t="inlineStr">
        <is>
          <t>—</t>
        </is>
      </c>
      <c r="H10" s="3" t="inlineStr">
        <is>
          <t>—</t>
        </is>
      </c>
      <c r="I10" s="3" t="inlineStr">
        <is>
          <t>—</t>
        </is>
      </c>
      <c r="J10" s="3" t="inlineStr">
        <is>
          <t>—</t>
        </is>
      </c>
      <c r="K10" s="3" t="inlineStr">
        <is>
          <t>—</t>
        </is>
      </c>
      <c r="L10" s="3" t="inlineStr">
        <is>
          <t>—</t>
        </is>
      </c>
      <c r="M10" s="3" t="inlineStr">
        <is>
          <t>—</t>
        </is>
      </c>
      <c r="N10" s="3" t="inlineStr">
        <is>
          <t>—</t>
        </is>
      </c>
      <c r="O10" s="3" t="inlineStr">
        <is>
          <t>—</t>
        </is>
      </c>
      <c r="P10" s="3" t="inlineStr">
        <is>
          <t>—</t>
        </is>
      </c>
      <c r="Q10" s="3" t="inlineStr">
        <is>
          <t>—</t>
        </is>
      </c>
      <c r="R10" s="2" t="inlineStr">
        <is>
          <t>Crowding relief (letter spacing directly addresses visual/lateral crowding)</t>
        </is>
      </c>
      <c r="S10" s="2" t="inlineStr">
        <is>
          <t>Medium = mobile phone screen (screen size); no explicit reader-profile variation</t>
        </is>
      </c>
      <c r="T10" s="2" t="inlineStr">
        <is>
          <t>Fixed population default (single best spacing configuration); text-side</t>
        </is>
      </c>
      <c r="U10" s="2" t="inlineStr">
        <is>
          <t>No significant effect of interletter/line spacing on reading speed or comprehension on mobile, but spacing significantly affected perceived comfort.</t>
        </is>
      </c>
      <c r="V10" s="2" t="inlineStr">
        <is>
          <t>Does not examine reader-profile moderators (dyslexia, visual-attention span) that crowding-relief literature suggests are key to spacing effects.</t>
        </is>
      </c>
    </row>
    <row r="11" ht="60" customHeight="1">
      <c r="A11" s="2" t="inlineStr">
        <is>
          <t>Comprehension</t>
        </is>
      </c>
      <c r="B11" s="2" t="inlineStr">
        <is>
          <t>binkley-identifier-style-effort-comprehension-2012.pdf</t>
        </is>
      </c>
      <c r="C11" s="2" t="inlineStr">
        <is>
          <t>The Impact of Identifier Style on Effort and Comprehension</t>
        </is>
      </c>
      <c r="D11" s="2" t="inlineStr">
        <is>
          <t>Binkley et al., 2013 (online 2012)</t>
        </is>
      </c>
      <c r="E11" s="2" t="inlineStr">
        <is>
          <t>V2, L1</t>
        </is>
      </c>
      <c r="F11" s="3" t="inlineStr">
        <is>
          <t>—</t>
        </is>
      </c>
      <c r="G11" s="5" t="inlineStr">
        <is>
          <t>H</t>
        </is>
      </c>
      <c r="H11" s="3" t="inlineStr">
        <is>
          <t>—</t>
        </is>
      </c>
      <c r="I11" s="3" t="inlineStr">
        <is>
          <t>—</t>
        </is>
      </c>
      <c r="J11" s="3" t="inlineStr">
        <is>
          <t>—</t>
        </is>
      </c>
      <c r="K11" s="3" t="inlineStr">
        <is>
          <t>—</t>
        </is>
      </c>
      <c r="L11" s="4" t="inlineStr">
        <is>
          <t>M</t>
        </is>
      </c>
      <c r="M11" s="3" t="inlineStr">
        <is>
          <t>—</t>
        </is>
      </c>
      <c r="N11" s="3" t="inlineStr">
        <is>
          <t>—</t>
        </is>
      </c>
      <c r="O11" s="3" t="inlineStr">
        <is>
          <t>—</t>
        </is>
      </c>
      <c r="P11" s="3" t="inlineStr">
        <is>
          <t>—</t>
        </is>
      </c>
      <c r="Q11" s="3" t="inlineStr">
        <is>
          <t>—</t>
        </is>
      </c>
      <c r="R11" s="2" t="inlineStr">
        <is>
          <t>Lexical access facilitation (word segmentation/recognition of camelCase vs underscore); crowding relief (visual separation of sub-words)</t>
        </is>
      </c>
      <c r="S11" s="2" t="inlineStr">
        <is>
          <t>Expertise (novice vs experienced programmers); task type (source-focused vs prose-like)</t>
        </is>
      </c>
      <c r="T11" s="2" t="inlineStr">
        <is>
          <t>Fixed (population-level coding-standard recommendation); text-side (naming convention)</t>
        </is>
      </c>
      <c r="U11" s="2" t="inlineStr">
        <is>
          <t>Identifier-style effects diminished for experienced developers; beginners benefited from camelCase in accuracy and effort.</t>
        </is>
      </c>
      <c r="V11" s="2" t="inlineStr">
        <is>
          <t>Domain is programming-code comprehension, not natural-language prose, so V2/L1 findings may not generalize to the model's intended contexts.</t>
        </is>
      </c>
    </row>
    <row r="12" ht="60" customHeight="1">
      <c r="A12" s="2" t="inlineStr">
        <is>
          <t>Comprehension</t>
        </is>
      </c>
      <c r="B12" s="2" t="inlineStr">
        <is>
          <t>fpsyg-12-712901.pdf</t>
        </is>
      </c>
      <c r="C12" s="2" t="inlineStr">
        <is>
          <t>Levels of Reading Comprehension in Higher Education: Systematic Review and Meta-Analysis</t>
        </is>
      </c>
      <c r="D12" s="2" t="inlineStr">
        <is>
          <t>de-la-Peña &amp; Luque-Rojas, 2021</t>
        </is>
      </c>
      <c r="E12" s="2" t="inlineStr">
        <is>
          <t>none manipulated (outcome taxonomy review)</t>
        </is>
      </c>
      <c r="F12" s="3" t="inlineStr">
        <is>
          <t>—</t>
        </is>
      </c>
      <c r="G12" s="3" t="inlineStr">
        <is>
          <t>—</t>
        </is>
      </c>
      <c r="H12" s="3" t="inlineStr">
        <is>
          <t>—</t>
        </is>
      </c>
      <c r="I12" s="3" t="inlineStr">
        <is>
          <t>—</t>
        </is>
      </c>
      <c r="J12" s="3" t="inlineStr">
        <is>
          <t>—</t>
        </is>
      </c>
      <c r="K12" s="3" t="inlineStr">
        <is>
          <t>—</t>
        </is>
      </c>
      <c r="L12" s="3" t="inlineStr">
        <is>
          <t>—</t>
        </is>
      </c>
      <c r="M12" s="3" t="inlineStr">
        <is>
          <t>—</t>
        </is>
      </c>
      <c r="N12" s="6" t="inlineStr">
        <is>
          <t>L</t>
        </is>
      </c>
      <c r="O12" s="3" t="inlineStr">
        <is>
          <t>—</t>
        </is>
      </c>
      <c r="P12" s="3" t="inlineStr">
        <is>
          <t>—</t>
        </is>
      </c>
      <c r="Q12" s="6" t="inlineStr">
        <is>
          <t>L</t>
        </is>
      </c>
      <c r="R12" s="2" t="inlineStr">
        <is>
          <t>Macrostructure construction (implicated by inferential/organizational comprehension levels), not framed in these terms by the paper</t>
        </is>
      </c>
      <c r="S12" s="2" t="inlineStr">
        <is>
          <t>Type of measure/test, type of text, discipline/career, publication type; population = university students</t>
        </is>
      </c>
      <c r="T12" s="2" t="inlineStr">
        <is>
          <t>n/a</t>
        </is>
      </c>
      <c r="U12" s="2" t="inlineStr">
        <is>
          <t>Across 7 meta-analyzed studies, literal comprehension mastered most (56%); inferential/critical/organizational levels achieved by only ~22-33%.</t>
        </is>
      </c>
      <c r="V12" s="2" t="inlineStr">
        <is>
          <t>Reviews outcome measures rather than text-design manipulations; no direct evidence on any V/L lever.</t>
        </is>
      </c>
    </row>
    <row r="13" ht="60" customHeight="1">
      <c r="A13" s="2" t="inlineStr">
        <is>
          <t>Comprehension</t>
        </is>
      </c>
      <c r="B13" s="2" t="inlineStr">
        <is>
          <t>layout_on_screen.pdf</t>
        </is>
      </c>
      <c r="C13" s="2" t="inlineStr">
        <is>
          <t>How Physical Text Layout Affects Reading from Screen</t>
        </is>
      </c>
      <c r="D13" s="2" t="inlineStr">
        <is>
          <t>Dyson, 2004</t>
        </is>
      </c>
      <c r="E13" s="2" t="inlineStr">
        <is>
          <t>V1, V6 (low)</t>
        </is>
      </c>
      <c r="F13" s="5" t="inlineStr">
        <is>
          <t>H</t>
        </is>
      </c>
      <c r="G13" s="6" t="inlineStr">
        <is>
          <t>L</t>
        </is>
      </c>
      <c r="H13" s="3" t="inlineStr">
        <is>
          <t>—</t>
        </is>
      </c>
      <c r="I13" s="3" t="inlineStr">
        <is>
          <t>—</t>
        </is>
      </c>
      <c r="J13" s="6" t="inlineStr">
        <is>
          <t>L</t>
        </is>
      </c>
      <c r="K13" s="6" t="inlineStr">
        <is>
          <t>L</t>
        </is>
      </c>
      <c r="L13" s="3" t="inlineStr">
        <is>
          <t>—</t>
        </is>
      </c>
      <c r="M13" s="3" t="inlineStr">
        <is>
          <t>—</t>
        </is>
      </c>
      <c r="N13" s="3" t="inlineStr">
        <is>
          <t>—</t>
        </is>
      </c>
      <c r="O13" s="3" t="inlineStr">
        <is>
          <t>—</t>
        </is>
      </c>
      <c r="P13" s="3" t="inlineStr">
        <is>
          <t>—</t>
        </is>
      </c>
      <c r="Q13" s="3" t="inlineStr">
        <is>
          <t>—</t>
        </is>
      </c>
      <c r="R13" s="2" t="inlineStr">
        <is>
          <t>Attentional guidance / eye-movement and saccade patterns as a function of line length; WM load indirectly via chunking effects of line length</t>
        </is>
      </c>
      <c r="S13" s="2" t="inlineStr">
        <is>
          <t>Reading purpose (skimming vs normal-rate reading), familiarity with format; medium = screen (vs paper)</t>
        </is>
      </c>
      <c r="T13" s="2" t="inlineStr">
        <is>
          <t>Fixed (seeks general screen-layout guidelines); text-side</t>
        </is>
      </c>
      <c r="U13" s="2" t="inlineStr">
        <is>
          <t>Characters-per-line (rather than line length per se) is the critical variable; more work needed on interactions with eye movements and scrolling.</t>
        </is>
      </c>
      <c r="V13" s="2" t="inlineStr">
        <is>
          <t>Literature review/synthesis, not new empirical manipulation; no reader-profile moderators (e.g., dyslexia, age) examined.</t>
        </is>
      </c>
    </row>
    <row r="14" ht="60" customHeight="1">
      <c r="A14" s="2" t="inlineStr">
        <is>
          <t>Comprehension</t>
        </is>
      </c>
      <c r="B14" s="2" t="inlineStr">
        <is>
          <t>ssrn-5678368.pdf</t>
        </is>
      </c>
      <c r="C14" s="2" t="inlineStr">
        <is>
          <t>Type and Tale: The Effects of Typography and Narratives on Comprehension</t>
        </is>
      </c>
      <c r="D14" s="2" t="inlineStr">
        <is>
          <t>Endres et al., 2025 (preprint)</t>
        </is>
      </c>
      <c r="E14" s="2" t="inlineStr">
        <is>
          <t>V2, L6</t>
        </is>
      </c>
      <c r="F14" s="3" t="inlineStr">
        <is>
          <t>—</t>
        </is>
      </c>
      <c r="G14" s="5" t="inlineStr">
        <is>
          <t>H</t>
        </is>
      </c>
      <c r="H14" s="6" t="inlineStr">
        <is>
          <t>L</t>
        </is>
      </c>
      <c r="I14" s="3" t="inlineStr">
        <is>
          <t>—</t>
        </is>
      </c>
      <c r="J14" s="3" t="inlineStr">
        <is>
          <t>—</t>
        </is>
      </c>
      <c r="K14" s="3" t="inlineStr">
        <is>
          <t>—</t>
        </is>
      </c>
      <c r="L14" s="3" t="inlineStr">
        <is>
          <t>—</t>
        </is>
      </c>
      <c r="M14" s="3" t="inlineStr">
        <is>
          <t>—</t>
        </is>
      </c>
      <c r="N14" s="3" t="inlineStr">
        <is>
          <t>—</t>
        </is>
      </c>
      <c r="O14" s="3" t="inlineStr">
        <is>
          <t>—</t>
        </is>
      </c>
      <c r="P14" s="3" t="inlineStr">
        <is>
          <t>—</t>
        </is>
      </c>
      <c r="Q14" s="5" t="inlineStr">
        <is>
          <t>H</t>
        </is>
      </c>
      <c r="R14" s="2" t="inlineStr">
        <is>
          <t>Attentional guidance / situational interest (emotional design sustaining attention); macrostructure construction (situation-model building); WM load management (sustained engagement with lengthy texts)</t>
        </is>
      </c>
      <c r="S14" s="2" t="inlineStr">
        <is>
          <t>None strongly studied as reader-profile moderators; reading goal = learning/sustained engagement with lengthy educational text</t>
        </is>
      </c>
      <c r="T14" s="2" t="inlineStr">
        <is>
          <t>Theme-based (recommends population-level default of 'appealing typography + narrative framing'); text-side</t>
        </is>
      </c>
      <c r="U14" s="2" t="inlineStr">
        <is>
          <t>Pairing appealing typography with narrative framing sustains attention and improves elaborative comprehension when learning from long complex texts.</t>
        </is>
      </c>
      <c r="V14" s="2" t="inlineStr">
        <is>
          <t>Does not examine reader-profile moderators (prior knowledge, L2 status) or medium (screen vs paper) interactions with typography/narrative effects.</t>
        </is>
      </c>
    </row>
    <row r="15" ht="60" customHeight="1">
      <c r="A15" s="2" t="inlineStr">
        <is>
          <t>Proofreading</t>
        </is>
      </c>
      <c r="B15" s="2" t="inlineStr">
        <is>
          <t>160800.pdf, out.pdf</t>
        </is>
      </c>
      <c r="C15" s="2" t="inlineStr">
        <is>
          <t>The Effect of Emphasizing Proofreading and Selected Basic English Rules in a Beginning Typewriting Class at the College Level</t>
        </is>
      </c>
      <c r="D15" s="2" t="inlineStr">
        <is>
          <t>Snyder, 1978 (dissertation)</t>
        </is>
      </c>
      <c r="E15" s="2" t="inlineStr">
        <is>
          <t>none of V/L directly manipulated (instructional-treatment study)</t>
        </is>
      </c>
      <c r="F15" s="3" t="inlineStr">
        <is>
          <t>—</t>
        </is>
      </c>
      <c r="G15" s="3" t="inlineStr">
        <is>
          <t>—</t>
        </is>
      </c>
      <c r="H15" s="3" t="inlineStr">
        <is>
          <t>—</t>
        </is>
      </c>
      <c r="I15" s="3" t="inlineStr">
        <is>
          <t>—</t>
        </is>
      </c>
      <c r="J15" s="3" t="inlineStr">
        <is>
          <t>—</t>
        </is>
      </c>
      <c r="K15" s="3" t="inlineStr">
        <is>
          <t>—</t>
        </is>
      </c>
      <c r="L15" s="3" t="inlineStr">
        <is>
          <t>—</t>
        </is>
      </c>
      <c r="M15" s="3" t="inlineStr">
        <is>
          <t>—</t>
        </is>
      </c>
      <c r="N15" s="3" t="inlineStr">
        <is>
          <t>—</t>
        </is>
      </c>
      <c r="O15" s="3" t="inlineStr">
        <is>
          <t>—</t>
        </is>
      </c>
      <c r="P15" s="3" t="inlineStr">
        <is>
          <t>—</t>
        </is>
      </c>
      <c r="Q15" s="3" t="inlineStr">
        <is>
          <t>—</t>
        </is>
      </c>
      <c r="R15" s="2" t="inlineStr">
        <is>
          <t>None explicit — study is about skill acquisition, not text-processing mechanisms</t>
        </is>
      </c>
      <c r="S15" s="2" t="inlineStr">
        <is>
          <t>Reading goal = proofreading skill acquisition; reader profile = beginning vs advanced college typewriting students</t>
        </is>
      </c>
      <c r="T15" s="2" t="inlineStr">
        <is>
          <t>Reader-side (curriculum-embedded strategy/skill instruction), fixed population-wide treatment, not individuated</t>
        </is>
      </c>
      <c r="U15" s="2" t="inlineStr">
        <is>
          <t>Special classroom emphasis on proofreading/basic English rules produced a positive but not statistically significant improvement, with a significant gain on spelling specifically.</t>
        </is>
      </c>
      <c r="V15" s="2" t="inlineStr">
        <is>
          <t>Never varies any text-presentation feature (V1-V6) or lexical/structural text property (L1-L6); treats proofreading purely as a trainable reader skill.</t>
        </is>
      </c>
    </row>
    <row r="16" ht="60" customHeight="1">
      <c r="A16" s="2" t="inlineStr">
        <is>
          <t>Proofreading</t>
        </is>
      </c>
      <c r="B16" s="2" t="inlineStr">
        <is>
          <t>2534_105-2221-E-150-034-.pdf</t>
        </is>
      </c>
      <c r="C16" s="2" t="inlineStr">
        <is>
          <t>The Effects of White Space in Layout on Reading Performance and Aesthetic Preference on Small Handheld Device Screens</t>
        </is>
      </c>
      <c r="D16" s="2" t="inlineStr">
        <is>
          <t>Huang &amp; Li, 2017</t>
        </is>
      </c>
      <c r="E16" s="2" t="inlineStr">
        <is>
          <t>V1, V3 (secondary)</t>
        </is>
      </c>
      <c r="F16" s="5" t="inlineStr">
        <is>
          <t>H</t>
        </is>
      </c>
      <c r="G16" s="6" t="inlineStr">
        <is>
          <t>L</t>
        </is>
      </c>
      <c r="H16" s="4" t="inlineStr">
        <is>
          <t>M</t>
        </is>
      </c>
      <c r="I16" s="3" t="inlineStr">
        <is>
          <t>—</t>
        </is>
      </c>
      <c r="J16" s="6" t="inlineStr">
        <is>
          <t>L</t>
        </is>
      </c>
      <c r="K16" s="3" t="inlineStr">
        <is>
          <t>—</t>
        </is>
      </c>
      <c r="L16" s="3" t="inlineStr">
        <is>
          <t>—</t>
        </is>
      </c>
      <c r="M16" s="3" t="inlineStr">
        <is>
          <t>—</t>
        </is>
      </c>
      <c r="N16" s="3" t="inlineStr">
        <is>
          <t>—</t>
        </is>
      </c>
      <c r="O16" s="3" t="inlineStr">
        <is>
          <t>—</t>
        </is>
      </c>
      <c r="P16" s="3" t="inlineStr">
        <is>
          <t>—</t>
        </is>
      </c>
      <c r="Q16" s="3" t="inlineStr">
        <is>
          <t>—</t>
        </is>
      </c>
      <c r="R16" s="2" t="inlineStr">
        <is>
          <t>Crowding relief (white space reducing 'oppressive' density) explicitly invoked as theoretical rationale; implicit WM/effort framing via subjective effort ratings</t>
        </is>
      </c>
      <c r="S16" s="2" t="inlineStr">
        <is>
          <t>Medium = smartphone screen size specifically (not vs paper); reading goal = proofreading (error-detection); no reader-profile variation</t>
        </is>
      </c>
      <c r="T16" s="2" t="inlineStr">
        <is>
          <t>Fixed population-default typographic settings; text-side only</t>
        </is>
      </c>
      <c r="U16" s="2" t="inlineStr">
        <is>
          <t>Oversized margins/line spacing degrade objective reading/proofreading time and subjective comfort; increased paragraph spacing improves performance; objective and subjective measures sometimes diverge.</t>
        </is>
      </c>
      <c r="V16" s="2" t="inlineStr">
        <is>
          <t>Never varies glyph-level factors (font, size, weight) or navigation/scrolling; moderators (age, vision, L2 status) not explored.</t>
        </is>
      </c>
    </row>
    <row r="17" ht="60" customHeight="1">
      <c r="A17" s="2" t="inlineStr">
        <is>
          <t>Proofreading</t>
        </is>
      </c>
      <c r="B17" s="2" t="inlineStr">
        <is>
          <t>666539-what-impacts-success-in-proofreading-a-literature-review-of-text-feature-effects. (1).pdf, 666539-what-impacts-success-in-proofreading-a-literature-review-of-text-feature-effects..pdf</t>
        </is>
      </c>
      <c r="C17" s="2" t="inlineStr">
        <is>
          <t>What impacts success in proofreading? A literature review of text feature effects</t>
        </is>
      </c>
      <c r="D17" s="2" t="inlineStr">
        <is>
          <t>Mouthaan &amp; Vitello, 2022 (Cambridge Univ. Press &amp; Assessment)</t>
        </is>
      </c>
      <c r="E17" s="2" t="inlineStr">
        <is>
          <t>V1, V2, L1</t>
        </is>
      </c>
      <c r="F17" s="5" t="inlineStr">
        <is>
          <t>H</t>
        </is>
      </c>
      <c r="G17" s="5" t="inlineStr">
        <is>
          <t>H</t>
        </is>
      </c>
      <c r="H17" s="6" t="inlineStr">
        <is>
          <t>L</t>
        </is>
      </c>
      <c r="I17" s="3" t="inlineStr">
        <is>
          <t>—</t>
        </is>
      </c>
      <c r="J17" s="3" t="inlineStr">
        <is>
          <t>—</t>
        </is>
      </c>
      <c r="K17" s="3" t="inlineStr">
        <is>
          <t>—</t>
        </is>
      </c>
      <c r="L17" s="5" t="inlineStr">
        <is>
          <t>H</t>
        </is>
      </c>
      <c r="M17" s="3" t="inlineStr">
        <is>
          <t>—</t>
        </is>
      </c>
      <c r="N17" s="3" t="inlineStr">
        <is>
          <t>—</t>
        </is>
      </c>
      <c r="O17" s="3" t="inlineStr">
        <is>
          <t>—</t>
        </is>
      </c>
      <c r="P17" s="3" t="inlineStr">
        <is>
          <t>—</t>
        </is>
      </c>
      <c r="Q17" s="3" t="inlineStr">
        <is>
          <t>—</t>
        </is>
      </c>
      <c r="R17" s="2" t="inlineStr">
        <is>
          <t>Lexical access facilitation (high-frequency/predictable words skim-read or skipped, reducing error detection); attentional guidance (extreme line lengths disrupt reading flow)</t>
        </is>
      </c>
      <c r="S17" s="2" t="inlineStr">
        <is>
          <t>Reading goal = proofreading vs general reading; no reader-profile or medium moderators (bracketed to companion report)</t>
        </is>
      </c>
      <c r="T17" s="2" t="inlineStr">
        <is>
          <t>Text-side, fixed/population level (avoid extreme line lengths, prefer wider line spacing, left-alignment); also proposes reader-side/organisational mitigation (multiple proofreaders, more time)</t>
        </is>
      </c>
      <c r="U17" s="2" t="inlineStr">
        <is>
          <t>Line spacing, alignment, and text size show relatively consistent effects on proofreading; font/typeface effects inconsistent; homophones and high-frequency/predictable words are reliably harder to detect as errors.</t>
        </is>
      </c>
      <c r="V17" s="2" t="inlineStr">
        <is>
          <t>Notes proofreading-specific evidence base is thin; never addresses navigation/scrolling, rhetorical scaffolding, or reader-profile moderators (dyslexia, L2 status).</t>
        </is>
      </c>
    </row>
    <row r="18" ht="60" customHeight="1">
      <c r="A18" s="2" t="inlineStr">
        <is>
          <t>Proofreading</t>
        </is>
      </c>
      <c r="B18" s="2" t="inlineStr">
        <is>
          <t>666540-what-impacts-success-in-proofreading-a-literature-review-of-proofreading-on-screen-vs-on-paper.-.pdf</t>
        </is>
      </c>
      <c r="C18" s="2" t="inlineStr">
        <is>
          <t>What impacts success in proofreading? A literature review of proofreading on screen vs on paper</t>
        </is>
      </c>
      <c r="D18" s="2" t="inlineStr">
        <is>
          <t>Vitello, 2022 (Cambridge Univ. Press &amp; Assessment)</t>
        </is>
      </c>
      <c r="E18" s="2" t="inlineStr">
        <is>
          <t>V4, V6 (secondary)</t>
        </is>
      </c>
      <c r="F18" s="3" t="inlineStr">
        <is>
          <t>—</t>
        </is>
      </c>
      <c r="G18" s="3" t="inlineStr">
        <is>
          <t>—</t>
        </is>
      </c>
      <c r="H18" s="3" t="inlineStr">
        <is>
          <t>—</t>
        </is>
      </c>
      <c r="I18" s="5" t="inlineStr">
        <is>
          <t>H</t>
        </is>
      </c>
      <c r="J18" s="3" t="inlineStr">
        <is>
          <t>—</t>
        </is>
      </c>
      <c r="K18" s="4" t="inlineStr">
        <is>
          <t>M</t>
        </is>
      </c>
      <c r="L18" s="3" t="inlineStr">
        <is>
          <t>—</t>
        </is>
      </c>
      <c r="M18" s="3" t="inlineStr">
        <is>
          <t>—</t>
        </is>
      </c>
      <c r="N18" s="3" t="inlineStr">
        <is>
          <t>—</t>
        </is>
      </c>
      <c r="O18" s="3" t="inlineStr">
        <is>
          <t>—</t>
        </is>
      </c>
      <c r="P18" s="3" t="inlineStr">
        <is>
          <t>—</t>
        </is>
      </c>
      <c r="Q18" s="3" t="inlineStr">
        <is>
          <t>—</t>
        </is>
      </c>
      <c r="R18" s="2" t="inlineStr">
        <is>
          <t>None deeply theorized; report identifies 'theoretical gaps' explaining mixed screen effects</t>
        </is>
      </c>
      <c r="S18" s="2" t="inlineStr">
        <is>
          <t>Medium = screen vs paper (primary); screen type and era of publication as technology proxy; reader profile mostly university-student samples</t>
        </is>
      </c>
      <c r="T18" s="2" t="inlineStr">
        <is>
          <t>n/a — descriptive review</t>
        </is>
      </c>
      <c r="U18" s="2" t="inlineStr">
        <is>
          <t>Evidence for a screen disadvantage in proofreading is mixed for accuracy; the once-reported speed disadvantage disappeared in studies after 2000.</t>
        </is>
      </c>
      <c r="V18" s="2" t="inlineStr">
        <is>
          <t>Flags limited ecological validity (old studies, student samples); no included study manipulates lexical, rhetorical, or reader-profile factors alongside medium.</t>
        </is>
      </c>
    </row>
    <row r="19" ht="60" customHeight="1">
      <c r="A19" s="2" t="inlineStr">
        <is>
          <t>Proofreading</t>
        </is>
      </c>
      <c r="B19" s="2" t="inlineStr">
        <is>
          <t>7085c1aa7ea26960b0395c1409a9f2db.pdf</t>
        </is>
      </c>
      <c r="C19" s="2" t="inlineStr">
        <is>
          <t>[Book review] Letter Perfect: A Guide to Practical Proofreading, by Peggy Smith (1995)</t>
        </is>
      </c>
      <c r="D19" s="2" t="inlineStr">
        <is>
          <t>Unknown reviewer, Technical Communication, 1996</t>
        </is>
      </c>
      <c r="E19" s="2" t="inlineStr">
        <is>
          <t>none directly — short book review</t>
        </is>
      </c>
      <c r="F19" s="3" t="inlineStr">
        <is>
          <t>—</t>
        </is>
      </c>
      <c r="G19" s="3" t="inlineStr">
        <is>
          <t>—</t>
        </is>
      </c>
      <c r="H19" s="3" t="inlineStr">
        <is>
          <t>—</t>
        </is>
      </c>
      <c r="I19" s="3" t="inlineStr">
        <is>
          <t>—</t>
        </is>
      </c>
      <c r="J19" s="6" t="inlineStr">
        <is>
          <t>L</t>
        </is>
      </c>
      <c r="K19" s="3" t="inlineStr">
        <is>
          <t>—</t>
        </is>
      </c>
      <c r="L19" s="3" t="inlineStr">
        <is>
          <t>—</t>
        </is>
      </c>
      <c r="M19" s="3" t="inlineStr">
        <is>
          <t>—</t>
        </is>
      </c>
      <c r="N19" s="3" t="inlineStr">
        <is>
          <t>—</t>
        </is>
      </c>
      <c r="O19" s="3" t="inlineStr">
        <is>
          <t>—</t>
        </is>
      </c>
      <c r="P19" s="6" t="inlineStr">
        <is>
          <t>L</t>
        </is>
      </c>
      <c r="Q19" s="3" t="inlineStr">
        <is>
          <t>—</t>
        </is>
      </c>
      <c r="R19" s="2" t="inlineStr">
        <is>
          <t>None explicit</t>
        </is>
      </c>
      <c r="S19" s="2" t="inlineStr">
        <is>
          <t>None — reading goal implicitly 'professional/organizational proofreading practice'</t>
        </is>
      </c>
      <c r="T19" s="2" t="inlineStr">
        <is>
          <t>n/a</t>
        </is>
      </c>
      <c r="U19" s="2" t="inlineStr">
        <is>
          <t>The reviewed guide frames proofreading as catching errors and clearly marking corrections via a simplified copyediting-symbol system; review has no empirical findings of its own.</t>
        </is>
      </c>
      <c r="V19" s="2" t="inlineStr">
        <is>
          <t>As a book review, contributes no data on any V/L dimension; useful only as a pointer to practitioner-guide literature.</t>
        </is>
      </c>
    </row>
    <row r="20" ht="60" customHeight="1">
      <c r="A20" s="2" t="inlineStr">
        <is>
          <t>Proofreading</t>
        </is>
      </c>
      <c r="B20" s="2" t="inlineStr">
        <is>
          <t>978-1-4899-2118-5_9.pdf</t>
        </is>
      </c>
      <c r="C20" s="2" t="inlineStr">
        <is>
          <t>Style, Strategy, and Skill in Reading (Ch.9, Learning Strategies and Learning Styles)</t>
        </is>
      </c>
      <c r="D20" s="2" t="inlineStr">
        <is>
          <t>Kirby, 1988</t>
        </is>
      </c>
      <c r="E20" s="2" t="inlineStr">
        <is>
          <t>none of V/L — theoretical chapter on reader-side cognitive strategies (only first 2 pages extractable)</t>
        </is>
      </c>
      <c r="F20" s="3" t="inlineStr">
        <is>
          <t>—</t>
        </is>
      </c>
      <c r="G20" s="3" t="inlineStr">
        <is>
          <t>—</t>
        </is>
      </c>
      <c r="H20" s="3" t="inlineStr">
        <is>
          <t>—</t>
        </is>
      </c>
      <c r="I20" s="3" t="inlineStr">
        <is>
          <t>—</t>
        </is>
      </c>
      <c r="J20" s="3" t="inlineStr">
        <is>
          <t>—</t>
        </is>
      </c>
      <c r="K20" s="3" t="inlineStr">
        <is>
          <t>—</t>
        </is>
      </c>
      <c r="L20" s="3" t="inlineStr">
        <is>
          <t>—</t>
        </is>
      </c>
      <c r="M20" s="3" t="inlineStr">
        <is>
          <t>—</t>
        </is>
      </c>
      <c r="N20" s="3" t="inlineStr">
        <is>
          <t>—</t>
        </is>
      </c>
      <c r="O20" s="3" t="inlineStr">
        <is>
          <t>—</t>
        </is>
      </c>
      <c r="P20" s="3" t="inlineStr">
        <is>
          <t>—</t>
        </is>
      </c>
      <c r="Q20" s="3" t="inlineStr">
        <is>
          <t>—</t>
        </is>
      </c>
      <c r="R20" s="2" t="inlineStr">
        <is>
          <t>None explicit in extractable portion; proposes a skills/strategies/styles hierarchy (abilities→skills→tactics→strategy→style)</t>
        </is>
      </c>
      <c r="S20" s="2" t="inlineStr">
        <is>
          <t>Reader profile as conceptual category (skill level, individual differences in reading style/strategy), discussed theoretically</t>
        </is>
      </c>
      <c r="T20" s="2" t="inlineStr">
        <is>
          <t>Reader-side (strategy/style as instructional lever), theoretical/individuated in principle but untested</t>
        </is>
      </c>
      <c r="U20" s="2" t="inlineStr">
        <is>
          <t>Reading proficiency reflects interaction of skills (existing routines) and strategies/styles (choices about deploying them); instruction must address both.</t>
        </is>
      </c>
      <c r="V20" s="2" t="inlineStr">
        <is>
          <t>Only intro pages available and purely theoretical; offers no data on any text-form dimension.</t>
        </is>
      </c>
    </row>
    <row r="21" ht="60" customHeight="1">
      <c r="A21" s="2" t="inlineStr">
        <is>
          <t>Proofreading</t>
        </is>
      </c>
      <c r="B21" s="2" t="inlineStr">
        <is>
          <t>978-3-642-21669-5_1.pdf, Developing_Optimum_Interface_Design_for.pdf</t>
        </is>
      </c>
      <c r="C21" s="2" t="inlineStr">
        <is>
          <t>Developing Optimum Interface Design for On-Screen Chinese Proofreading Tasks</t>
        </is>
      </c>
      <c r="D21" s="2" t="inlineStr">
        <is>
          <t>Chan, So &amp; Tsang, 2011 (HCII, LNCS 6772)</t>
        </is>
      </c>
      <c r="E21" s="2" t="inlineStr">
        <is>
          <t>V1, V2, V6 (secondary)</t>
        </is>
      </c>
      <c r="F21" s="4" t="inlineStr">
        <is>
          <t>M</t>
        </is>
      </c>
      <c r="G21" s="5" t="inlineStr">
        <is>
          <t>H</t>
        </is>
      </c>
      <c r="H21" s="3" t="inlineStr">
        <is>
          <t>—</t>
        </is>
      </c>
      <c r="I21" s="6" t="inlineStr">
        <is>
          <t>L</t>
        </is>
      </c>
      <c r="J21" s="3" t="inlineStr">
        <is>
          <t>—</t>
        </is>
      </c>
      <c r="K21" s="6" t="inlineStr">
        <is>
          <t>L</t>
        </is>
      </c>
      <c r="L21" s="3" t="inlineStr">
        <is>
          <t>—</t>
        </is>
      </c>
      <c r="M21" s="3" t="inlineStr">
        <is>
          <t>—</t>
        </is>
      </c>
      <c r="N21" s="3" t="inlineStr">
        <is>
          <t>—</t>
        </is>
      </c>
      <c r="O21" s="3" t="inlineStr">
        <is>
          <t>—</t>
        </is>
      </c>
      <c r="P21" s="3" t="inlineStr">
        <is>
          <t>—</t>
        </is>
      </c>
      <c r="Q21" s="3" t="inlineStr">
        <is>
          <t>—</t>
        </is>
      </c>
      <c r="R21" s="2" t="inlineStr">
        <is>
          <t>Lexical access/legibility facilitation implied (larger/clearer characters improve identification); attentional guidance implied via text direction and copy-placement scanning effects</t>
        </is>
      </c>
      <c r="S21" s="2" t="inlineStr">
        <is>
          <t>Medium = on-screen only; population = Chinese-script readers; reading goal = comparison proofreading</t>
        </is>
      </c>
      <c r="T21" s="2" t="inlineStr">
        <is>
          <t>Fixed population-default interface settings sought; text-side only</t>
        </is>
      </c>
      <c r="U21" s="2" t="inlineStr">
        <is>
          <t>Prior literature suggests larger font size and horizontal (vs vertical) text direction improve Chinese proofreading speed/accuracy; typeface/line-spacing effects less conclusive.</t>
        </is>
      </c>
      <c r="V21" s="2" t="inlineStr">
        <is>
          <t>Research-in-progress/review paper; does not address genre/narrativity, cohesion, or rhetorical scaffolding, nor reader-profile moderators like decoding skill or L2 status.</t>
        </is>
      </c>
    </row>
    <row r="22" ht="60" customHeight="1">
      <c r="A22" s="2" t="inlineStr">
        <is>
          <t>Proofreading</t>
        </is>
      </c>
      <c r="B22" s="2" t="inlineStr">
        <is>
          <t>Chan_et_al_2014_Proofread_Screen.pdf</t>
        </is>
      </c>
      <c r="C22" s="2" t="inlineStr">
        <is>
          <t>Effects of Line Length, Line Spacing, and Line Number on Proofreading Performance and Scrolling of Chinese Text</t>
        </is>
      </c>
      <c r="D22" s="2" t="inlineStr">
        <is>
          <t>Chan, Tsang &amp; Ng, 2014 (Human Factors)</t>
        </is>
      </c>
      <c r="E22" s="2" t="inlineStr">
        <is>
          <t>V1, V6</t>
        </is>
      </c>
      <c r="F22" s="5" t="inlineStr">
        <is>
          <t>H</t>
        </is>
      </c>
      <c r="G22" s="3" t="inlineStr">
        <is>
          <t>—</t>
        </is>
      </c>
      <c r="H22" s="3" t="inlineStr">
        <is>
          <t>—</t>
        </is>
      </c>
      <c r="I22" s="6" t="inlineStr">
        <is>
          <t>L</t>
        </is>
      </c>
      <c r="J22" s="3" t="inlineStr">
        <is>
          <t>—</t>
        </is>
      </c>
      <c r="K22" s="5" t="inlineStr">
        <is>
          <t>H</t>
        </is>
      </c>
      <c r="L22" s="3" t="inlineStr">
        <is>
          <t>—</t>
        </is>
      </c>
      <c r="M22" s="3" t="inlineStr">
        <is>
          <t>—</t>
        </is>
      </c>
      <c r="N22" s="3" t="inlineStr">
        <is>
          <t>—</t>
        </is>
      </c>
      <c r="O22" s="3" t="inlineStr">
        <is>
          <t>—</t>
        </is>
      </c>
      <c r="P22" s="3" t="inlineStr">
        <is>
          <t>—</t>
        </is>
      </c>
      <c r="Q22" s="3" t="inlineStr">
        <is>
          <t>—</t>
        </is>
      </c>
      <c r="R22" s="2" t="inlineStr">
        <is>
          <t>Attentional guidance / visual search efficiency (line number/spacing affecting error-detection accuracy); WM/effort trade-offs (speed-accuracy trade-off tied to scrolling amount)</t>
        </is>
      </c>
      <c r="S22" s="2" t="inlineStr">
        <is>
          <t>Medium = screen size/window configuration (line length x line number as screen-real-estate proxies); no reader-profile or paper-comparison moderators</t>
        </is>
      </c>
      <c r="T22" s="2" t="inlineStr">
        <is>
          <t>Fixed population-default display setting (medium line length ~36 chars/line, four lines, 1.5 line spacing); text/interface-side only</t>
        </is>
      </c>
      <c r="U22" s="2" t="inlineStr">
        <is>
          <t>Line number and line spacing show significant interacting effects on proofreading time and error-detection rate; more scrolling correlates with faster but less accurate proofreading.</t>
        </is>
      </c>
      <c r="V22" s="2" t="inlineStr">
        <is>
          <t>Isolates only spatial/navigational display factors; does not vary typeface, lexical difficulty, or reader skill.</t>
        </is>
      </c>
    </row>
    <row r="23" ht="60" customHeight="1">
      <c r="A23" s="2" t="inlineStr">
        <is>
          <t>Proofreading</t>
        </is>
      </c>
      <c r="B23" s="2" t="inlineStr">
        <is>
          <t>Proofreading_manuscriptChanandNg3ndRevisedCleanCopy.doc</t>
        </is>
      </c>
      <c r="C23" s="2" t="inlineStr">
        <is>
          <t>Effects of Display Factors on Chinese Proofreading Performance and Preferences</t>
        </is>
      </c>
      <c r="D23" s="2" t="inlineStr">
        <is>
          <t>Chan &amp; Ng, c.2012 (manuscript)</t>
        </is>
      </c>
      <c r="E23" s="2" t="inlineStr">
        <is>
          <t>V2, V6</t>
        </is>
      </c>
      <c r="F23" s="6" t="inlineStr">
        <is>
          <t>L</t>
        </is>
      </c>
      <c r="G23" s="5" t="inlineStr">
        <is>
          <t>H</t>
        </is>
      </c>
      <c r="H23" s="3" t="inlineStr">
        <is>
          <t>—</t>
        </is>
      </c>
      <c r="I23" s="6" t="inlineStr">
        <is>
          <t>L</t>
        </is>
      </c>
      <c r="J23" s="3" t="inlineStr">
        <is>
          <t>—</t>
        </is>
      </c>
      <c r="K23" s="5" t="inlineStr">
        <is>
          <t>H</t>
        </is>
      </c>
      <c r="L23" s="3" t="inlineStr">
        <is>
          <t>—</t>
        </is>
      </c>
      <c r="M23" s="3" t="inlineStr">
        <is>
          <t>—</t>
        </is>
      </c>
      <c r="N23" s="3" t="inlineStr">
        <is>
          <t>—</t>
        </is>
      </c>
      <c r="O23" s="3" t="inlineStr">
        <is>
          <t>—</t>
        </is>
      </c>
      <c r="P23" s="3" t="inlineStr">
        <is>
          <t>—</t>
        </is>
      </c>
      <c r="Q23" s="3" t="inlineStr">
        <is>
          <t>—</t>
        </is>
      </c>
      <c r="R23" s="2" t="inlineStr">
        <is>
          <t>Attentional guidance (horizontal reading direction aiding faster scanning); lexical/glyph access facilitation (typeface x size interaction affecting character identification speed)</t>
        </is>
      </c>
      <c r="S23" s="2" t="inlineStr">
        <is>
          <t>Reading goal = comparison proofreading specifically; population = Chinese-script readers; no age/vision/L2 moderators tested</t>
        </is>
      </c>
      <c r="T23" s="2" t="inlineStr">
        <is>
          <t>Fixed population-default interface design (horizontal text direction preferred generally; typeface choice conditioned on font size); text/interface-side only</t>
        </is>
      </c>
      <c r="U23" s="2" t="inlineStr">
        <is>
          <t>Horizontal text direction produced faster proofreading than vertical; typeface and font size interact (Ming Liu faster at 10pt, Jheng Hei faster at 14pt); accuracy shows a speed-accuracy trade-off.</t>
        </is>
      </c>
      <c r="V23" s="2" t="inlineStr">
        <is>
          <t>Confined to Chinese comparison-proofreading interface factors; does not test cohesion, compression, or rhetorical scaffolding, nor reader-profile moderators.</t>
        </is>
      </c>
    </row>
    <row r="24" ht="60" customHeight="1">
      <c r="A24" s="2" t="inlineStr">
        <is>
          <t>Proofreading</t>
        </is>
      </c>
      <c r="B24" s="2" t="inlineStr">
        <is>
          <t>hyatt-et-al-2017-a-student-guide-to-proofreading-and-writing-in-science.pdf</t>
        </is>
      </c>
      <c r="C24" s="2" t="inlineStr">
        <is>
          <t>A student guide to proofreading and writing in science</t>
        </is>
      </c>
      <c r="D24" s="2" t="inlineStr">
        <is>
          <t>Hyatt, Bienenstock &amp; Tilan, 2017</t>
        </is>
      </c>
      <c r="E24" s="2" t="inlineStr">
        <is>
          <t>L1, L2, L5 (pedagogical prescriptions, not experimental manipulations)</t>
        </is>
      </c>
      <c r="F24" s="3" t="inlineStr">
        <is>
          <t>—</t>
        </is>
      </c>
      <c r="G24" s="3" t="inlineStr">
        <is>
          <t>—</t>
        </is>
      </c>
      <c r="H24" s="3" t="inlineStr">
        <is>
          <t>—</t>
        </is>
      </c>
      <c r="I24" s="3" t="inlineStr">
        <is>
          <t>—</t>
        </is>
      </c>
      <c r="J24" s="6" t="inlineStr">
        <is>
          <t>L</t>
        </is>
      </c>
      <c r="K24" s="3" t="inlineStr">
        <is>
          <t>—</t>
        </is>
      </c>
      <c r="L24" s="4" t="inlineStr">
        <is>
          <t>M</t>
        </is>
      </c>
      <c r="M24" s="4" t="inlineStr">
        <is>
          <t>M</t>
        </is>
      </c>
      <c r="N24" s="6" t="inlineStr">
        <is>
          <t>L</t>
        </is>
      </c>
      <c r="O24" s="3" t="inlineStr">
        <is>
          <t>—</t>
        </is>
      </c>
      <c r="P24" s="4" t="inlineStr">
        <is>
          <t>M</t>
        </is>
      </c>
      <c r="Q24" s="3" t="inlineStr">
        <is>
          <t>—</t>
        </is>
      </c>
      <c r="R24" s="2" t="inlineStr">
        <is>
          <t>None formally tested — pedagogical/opinion piece; implicitly assumes WM/clarity benefits of better word choice and structure</t>
        </is>
      </c>
      <c r="S24" s="2" t="inlineStr">
        <is>
          <t>Reader/writer profile = undergraduate science students (novice academic writers); goal = proofreading own scientific writing for peer review/publication</t>
        </is>
      </c>
      <c r="T24" s="2" t="inlineStr">
        <is>
          <t>Reader-side (pedagogical guide teaching self-proofreading), fixed general undergraduate population, not individuated</t>
        </is>
      </c>
      <c r="U24" s="2" t="inlineStr">
        <is>
          <t>A catalog of common first-draft undergraduate science-writing errors with corrective recommendations improved student writing more than peer review alone (which was eventually dropped as ineffective).</t>
        </is>
      </c>
      <c r="V24" s="2" t="inlineStr">
        <is>
          <t>Opinion/pedagogy piece, not an empirical study; entirely omits the visual/typographic (V1-V6) side of the model.</t>
        </is>
      </c>
    </row>
    <row r="25" ht="60" customHeight="1">
      <c r="A25" s="2" t="inlineStr">
        <is>
          <t>Proofreading</t>
        </is>
      </c>
      <c r="B25" s="2" t="inlineStr">
        <is>
          <t>lt2017-6580-hd897.pdf</t>
        </is>
      </c>
      <c r="C25" s="2" t="inlineStr">
        <is>
          <t>An Eye Tracking Study of Line Spacing Effects on Reading Simplified Chinese</t>
        </is>
      </c>
      <c r="D25" s="2" t="inlineStr">
        <is>
          <t>Huang Dandan, 2017 (MA project, City University of Hong Kong)</t>
        </is>
      </c>
      <c r="E25" s="2" t="inlineStr">
        <is>
          <t>V1</t>
        </is>
      </c>
      <c r="F25" s="5" t="inlineStr">
        <is>
          <t>H</t>
        </is>
      </c>
      <c r="G25" s="3" t="inlineStr">
        <is>
          <t>—</t>
        </is>
      </c>
      <c r="H25" s="3" t="inlineStr">
        <is>
          <t>—</t>
        </is>
      </c>
      <c r="I25" s="3" t="inlineStr">
        <is>
          <t>—</t>
        </is>
      </c>
      <c r="J25" s="3" t="inlineStr">
        <is>
          <t>—</t>
        </is>
      </c>
      <c r="K25" s="3" t="inlineStr">
        <is>
          <t>—</t>
        </is>
      </c>
      <c r="L25" s="3" t="inlineStr">
        <is>
          <t>—</t>
        </is>
      </c>
      <c r="M25" s="3" t="inlineStr">
        <is>
          <t>—</t>
        </is>
      </c>
      <c r="N25" s="3" t="inlineStr">
        <is>
          <t>—</t>
        </is>
      </c>
      <c r="O25" s="3" t="inlineStr">
        <is>
          <t>—</t>
        </is>
      </c>
      <c r="P25" s="3" t="inlineStr">
        <is>
          <t>—</t>
        </is>
      </c>
      <c r="Q25" s="3" t="inlineStr">
        <is>
          <t>—</t>
        </is>
      </c>
      <c r="R25" s="2" t="inlineStr">
        <is>
          <t>Crowding relief / visual-attention span mechanisms explicitly discussed via saccade length and regression rate as markers of perceptual span and re-reading</t>
        </is>
      </c>
      <c r="S25" s="2" t="inlineStr">
        <is>
          <t>None formally manipulated as between-subject moderators (within-subjects, 35 subjects); reading goal = silent reading for comprehension, not proofreading per se</t>
        </is>
      </c>
      <c r="T25" s="2" t="inlineStr">
        <is>
          <t>n/a — basic eye-tracking research, findings inform future fixed typographic defaults for Chinese text</t>
        </is>
      </c>
      <c r="U25" s="2" t="inlineStr">
        <is>
          <t>Smallest line spacing produced significantly shorter average saccade length and lower regression rate; no significant differences in total reading time across 7 conditions.</t>
        </is>
      </c>
      <c r="V25" s="2" t="inlineStr">
        <is>
          <t>Isolates only line spacing via eye-tracking on a comprehension task, not proofreading; no reader-profile moderators (visual-attention span deficits, dyslexia) examined.</t>
        </is>
      </c>
    </row>
    <row r="26" ht="60" customHeight="1">
      <c r="A26" s="2" t="inlineStr">
        <is>
          <t>Search</t>
        </is>
      </c>
      <c r="B26" s="2" t="inlineStr">
        <is>
          <t>1255175.1255267.pdf, 1255175.1255267 (1).pdf</t>
        </is>
      </c>
      <c r="C26" s="2" t="inlineStr">
        <is>
          <t>Effects of Structure and Interaction Style on Distinct Search Tasks</t>
        </is>
      </c>
      <c r="D26" s="2" t="inlineStr">
        <is>
          <t>Capra et al., 2007</t>
        </is>
      </c>
      <c r="E26" s="2" t="inlineStr">
        <is>
          <t>V5, V6, L5</t>
        </is>
      </c>
      <c r="F26" s="3" t="inlineStr">
        <is>
          <t>—</t>
        </is>
      </c>
      <c r="G26" s="3" t="inlineStr">
        <is>
          <t>—</t>
        </is>
      </c>
      <c r="H26" s="6" t="inlineStr">
        <is>
          <t>L</t>
        </is>
      </c>
      <c r="I26" s="3" t="inlineStr">
        <is>
          <t>—</t>
        </is>
      </c>
      <c r="J26" s="5" t="inlineStr">
        <is>
          <t>H</t>
        </is>
      </c>
      <c r="K26" s="5" t="inlineStr">
        <is>
          <t>H</t>
        </is>
      </c>
      <c r="L26" s="3" t="inlineStr">
        <is>
          <t>—</t>
        </is>
      </c>
      <c r="M26" s="3" t="inlineStr">
        <is>
          <t>—</t>
        </is>
      </c>
      <c r="N26" s="3" t="inlineStr">
        <is>
          <t>—</t>
        </is>
      </c>
      <c r="O26" s="3" t="inlineStr">
        <is>
          <t>—</t>
        </is>
      </c>
      <c r="P26" s="4" t="inlineStr">
        <is>
          <t>M</t>
        </is>
      </c>
      <c r="Q26" s="3" t="inlineStr">
        <is>
          <t>—</t>
        </is>
      </c>
      <c r="R26" s="2" t="inlineStr">
        <is>
          <t>Attentional guidance (navigation structure directs users to relevant subsets); macrostructure construction (information architecture shapes mental model of the collection)</t>
        </is>
      </c>
      <c r="S26" s="2" t="inlineStr">
        <is>
          <t>Reading/search goal (simple lookup, complex lookup, exploratory search) x interface/medium (three interaction styles)</t>
        </is>
      </c>
      <c r="T26" s="2" t="inlineStr">
        <is>
          <t>Theme-based (fixed interface conditions per task type, not individuated); text/interface-side adaptation</t>
        </is>
      </c>
      <c r="U26" s="2" t="inlineStr">
        <is>
          <t>Automated faceted/dynamic-query interfaces achieved comparable effectiveness/efficiency to manually-constructed information architectures, though users preferred the manual architecture.</t>
        </is>
      </c>
      <c r="V26" s="2" t="inlineStr">
        <is>
          <t>Leaves reader-side moderators (domain expertise, prior knowledge, individual differences) unexamined.</t>
        </is>
      </c>
    </row>
    <row r="27" ht="60" customHeight="1">
      <c r="A27" s="2" t="inlineStr">
        <is>
          <t>Search</t>
        </is>
      </c>
      <c r="B27" s="2" t="inlineStr">
        <is>
          <t>1414694.1414722.pdf</t>
        </is>
      </c>
      <c r="C27" s="2" t="inlineStr">
        <is>
          <t>Searchers' Relevance Judgments and Criteria in Evaluating Web Pages in a Learning Style Perspective</t>
        </is>
      </c>
      <c r="D27" s="2" t="inlineStr">
        <is>
          <t>Papaeconomou, Zijlema &amp; Ingwersen, 2008</t>
        </is>
      </c>
      <c r="E27" s="2" t="inlineStr">
        <is>
          <t>V3</t>
        </is>
      </c>
      <c r="F27" s="3" t="inlineStr">
        <is>
          <t>—</t>
        </is>
      </c>
      <c r="G27" s="3" t="inlineStr">
        <is>
          <t>—</t>
        </is>
      </c>
      <c r="H27" s="4" t="inlineStr">
        <is>
          <t>M</t>
        </is>
      </c>
      <c r="I27" s="3" t="inlineStr">
        <is>
          <t>—</t>
        </is>
      </c>
      <c r="J27" s="6" t="inlineStr">
        <is>
          <t>L</t>
        </is>
      </c>
      <c r="K27" s="6" t="inlineStr">
        <is>
          <t>L</t>
        </is>
      </c>
      <c r="L27" s="3" t="inlineStr">
        <is>
          <t>—</t>
        </is>
      </c>
      <c r="M27" s="3" t="inlineStr">
        <is>
          <t>—</t>
        </is>
      </c>
      <c r="N27" s="3" t="inlineStr">
        <is>
          <t>—</t>
        </is>
      </c>
      <c r="O27" s="3" t="inlineStr">
        <is>
          <t>—</t>
        </is>
      </c>
      <c r="P27" s="3" t="inlineStr">
        <is>
          <t>—</t>
        </is>
      </c>
      <c r="Q27" s="3" t="inlineStr">
        <is>
          <t>—</t>
        </is>
      </c>
      <c r="R27" s="2" t="inlineStr">
        <is>
          <t>Attentional guidance (eye-tracking hot-spots reflect attention allocation during relevance assessment)</t>
        </is>
      </c>
      <c r="S27" s="2" t="inlineStr">
        <is>
          <t>Reader profile (Global vs Sequential learning styles) x reading goal (simulated work-task-based relevance assessment)</t>
        </is>
      </c>
      <c r="T27" s="2" t="inlineStr">
        <is>
          <t>n/a — observational/descriptive case study, motivated toward future personalization by learning style</t>
        </is>
      </c>
      <c r="U27" s="2" t="inlineStr">
        <is>
          <t>No significant differences in relevance-scoring behavior between Global and Sequential learners, though qualitative differences existed in which relevance criteria were emphasized.</t>
        </is>
      </c>
      <c r="V27" s="2" t="inlineStr">
        <is>
          <t>Does not test any controlled text or layout manipulation — relies on naturalistic web pages, so no causal readability lever is isolated.</t>
        </is>
      </c>
    </row>
    <row r="28" ht="60" customHeight="1">
      <c r="A28" s="2" t="inlineStr">
        <is>
          <t>Search</t>
        </is>
      </c>
      <c r="B28" s="2" t="inlineStr">
        <is>
          <t>2009-Tarling.pdf</t>
        </is>
      </c>
      <c r="C28" s="2" t="inlineStr">
        <is>
          <t>The effect of page layout and expectations on visual search. Do people adapt search strategy to make best use of page layout design?</t>
        </is>
      </c>
      <c r="D28" s="2" t="inlineStr">
        <is>
          <t>Tarling, 2009</t>
        </is>
      </c>
      <c r="E28" s="2" t="inlineStr">
        <is>
          <t>V1, V3, V5</t>
        </is>
      </c>
      <c r="F28" s="5" t="inlineStr">
        <is>
          <t>H</t>
        </is>
      </c>
      <c r="G28" s="3" t="inlineStr">
        <is>
          <t>—</t>
        </is>
      </c>
      <c r="H28" s="4" t="inlineStr">
        <is>
          <t>M</t>
        </is>
      </c>
      <c r="I28" s="3" t="inlineStr">
        <is>
          <t>—</t>
        </is>
      </c>
      <c r="J28" s="4" t="inlineStr">
        <is>
          <t>M</t>
        </is>
      </c>
      <c r="K28" s="6" t="inlineStr">
        <is>
          <t>L</t>
        </is>
      </c>
      <c r="L28" s="3" t="inlineStr">
        <is>
          <t>—</t>
        </is>
      </c>
      <c r="M28" s="3" t="inlineStr">
        <is>
          <t>—</t>
        </is>
      </c>
      <c r="N28" s="3" t="inlineStr">
        <is>
          <t>—</t>
        </is>
      </c>
      <c r="O28" s="3" t="inlineStr">
        <is>
          <t>—</t>
        </is>
      </c>
      <c r="P28" s="3" t="inlineStr">
        <is>
          <t>—</t>
        </is>
      </c>
      <c r="Q28" s="3" t="inlineStr">
        <is>
          <t>—</t>
        </is>
      </c>
      <c r="R28" s="2" t="inlineStr">
        <is>
          <t>Crowding relief (dense vs sparse layouts affect visual crowding and search efficiency); attentional guidance (gaze/fixation patterns adapt to design layout)</t>
        </is>
      </c>
      <c r="S28" s="2" t="inlineStr">
        <is>
          <t>Reading/search goal (visual search/glance task) x medium (web-page-style layout); no reader-profile variation</t>
        </is>
      </c>
      <c r="T28" s="2" t="inlineStr">
        <is>
          <t>n/a — controlled experiment; text-side manipulation of layout density</t>
        </is>
      </c>
      <c r="U28" s="2" t="inlineStr">
        <is>
          <t>Gaze favored sparse regions, but targets were located faster in dense-text conditions due to fewer, longer fixations, challenging layout-consistency theories.</t>
        </is>
      </c>
      <c r="V28" s="2" t="inlineStr">
        <is>
          <t>Does not address any linguistic/lexical dimension (L1-L6) since stimuli were non-prose search-item lists.</t>
        </is>
      </c>
    </row>
    <row r="29" ht="60" customHeight="1">
      <c r="A29" s="2" t="inlineStr">
        <is>
          <t>Search</t>
        </is>
      </c>
      <c r="B29" s="2" t="inlineStr">
        <is>
          <t>BF03212897.pdf</t>
        </is>
      </c>
      <c r="C29" s="2" t="inlineStr">
        <is>
          <t>Reading and visual search</t>
        </is>
      </c>
      <c r="D29" s="2" t="inlineStr">
        <is>
          <t>Fisher, 1975</t>
        </is>
      </c>
      <c r="E29" s="2" t="inlineStr">
        <is>
          <t>V1, V2, V3, L1</t>
        </is>
      </c>
      <c r="F29" s="5" t="inlineStr">
        <is>
          <t>H</t>
        </is>
      </c>
      <c r="G29" s="5" t="inlineStr">
        <is>
          <t>H</t>
        </is>
      </c>
      <c r="H29" s="6" t="inlineStr">
        <is>
          <t>L</t>
        </is>
      </c>
      <c r="I29" s="3" t="inlineStr">
        <is>
          <t>—</t>
        </is>
      </c>
      <c r="J29" s="3" t="inlineStr">
        <is>
          <t>—</t>
        </is>
      </c>
      <c r="K29" s="3" t="inlineStr">
        <is>
          <t>—</t>
        </is>
      </c>
      <c r="L29" s="6" t="inlineStr">
        <is>
          <t>L</t>
        </is>
      </c>
      <c r="M29" s="3" t="inlineStr">
        <is>
          <t>—</t>
        </is>
      </c>
      <c r="N29" s="3" t="inlineStr">
        <is>
          <t>—</t>
        </is>
      </c>
      <c r="O29" s="3" t="inlineStr">
        <is>
          <t>—</t>
        </is>
      </c>
      <c r="P29" s="3" t="inlineStr">
        <is>
          <t>—</t>
        </is>
      </c>
      <c r="Q29" s="3" t="inlineStr">
        <is>
          <t>—</t>
        </is>
      </c>
      <c r="R29" s="2" t="inlineStr">
        <is>
          <t>Crowding relief / lexical access facilitation (word shape and boundary cues affect letter/word recognition speed); attentional guidance ('peripheral and cognitive search guidance processes' explicitly invoked)</t>
        </is>
      </c>
      <c r="S29" s="2" t="inlineStr">
        <is>
          <t>Reading goal (reading vs visual search directly compared); no reader-profile variation, paper medium only</t>
        </is>
      </c>
      <c r="T29" s="2" t="inlineStr">
        <is>
          <t>n/a — classic experimental psychology; text-side manipulation of typography</t>
        </is>
      </c>
      <c r="U29" s="2" t="inlineStr">
        <is>
          <t>Removing interword spacing and altering letter case both slowed reading and search to about one-third normal speed, with a significant Type x Space interaction for reading but not search.</t>
        </is>
      </c>
      <c r="V29" s="2" t="inlineStr">
        <is>
          <t>Does not address digital/navigation dimensions (V4-V6) or discourse-level factors (L3-L6), being a single-page typography/legibility study.</t>
        </is>
      </c>
    </row>
    <row r="30" ht="60" customHeight="1">
      <c r="A30" s="2" t="inlineStr">
        <is>
          <t>Search</t>
        </is>
      </c>
      <c r="B30" s="2" t="inlineStr">
        <is>
          <t>ED438801.pdf</t>
        </is>
      </c>
      <c r="C30" s="2" t="inlineStr">
        <is>
          <t>Information Seeking on the Web: An Integrated Model of Browsing and Searching</t>
        </is>
      </c>
      <c r="D30" s="2" t="inlineStr">
        <is>
          <t>Choo, Detlor &amp; Turnbull, 1999</t>
        </is>
      </c>
      <c r="E30" s="2" t="inlineStr">
        <is>
          <t>V6</t>
        </is>
      </c>
      <c r="F30" s="3" t="inlineStr">
        <is>
          <t>—</t>
        </is>
      </c>
      <c r="G30" s="3" t="inlineStr">
        <is>
          <t>—</t>
        </is>
      </c>
      <c r="H30" s="3" t="inlineStr">
        <is>
          <t>—</t>
        </is>
      </c>
      <c r="I30" s="3" t="inlineStr">
        <is>
          <t>—</t>
        </is>
      </c>
      <c r="J30" s="3" t="inlineStr">
        <is>
          <t>—</t>
        </is>
      </c>
      <c r="K30" s="5" t="inlineStr">
        <is>
          <t>H</t>
        </is>
      </c>
      <c r="L30" s="3" t="inlineStr">
        <is>
          <t>—</t>
        </is>
      </c>
      <c r="M30" s="3" t="inlineStr">
        <is>
          <t>—</t>
        </is>
      </c>
      <c r="N30" s="3" t="inlineStr">
        <is>
          <t>—</t>
        </is>
      </c>
      <c r="O30" s="3" t="inlineStr">
        <is>
          <t>—</t>
        </is>
      </c>
      <c r="P30" s="3" t="inlineStr">
        <is>
          <t>—</t>
        </is>
      </c>
      <c r="Q30" s="3" t="inlineStr">
        <is>
          <t>—</t>
        </is>
      </c>
      <c r="R30" s="2" t="inlineStr">
        <is>
          <t>None explicit (a behavioral/motivational framework, not mechanism-level)</t>
        </is>
      </c>
      <c r="S30" s="2" t="inlineStr">
        <is>
          <t>Reading/info-seeking goal (undirected viewing, conditioned viewing, informal search, formal search) x medium (workplace Web browsing); reader profile limited to job role</t>
        </is>
      </c>
      <c r="T30" s="2" t="inlineStr">
        <is>
          <t>n/a — descriptive model, not an adaptive system</t>
        </is>
      </c>
      <c r="U30" s="2" t="inlineStr">
        <is>
          <t>Web information seeking combines browsing and searching moves into repertoires driven by underlying motivations, identified from 61 episodes across 34 knowledge workers.</t>
        </is>
      </c>
      <c r="V30" s="2" t="inlineStr">
        <is>
          <t>Does not examine any text-presentation or typographic dimension — entirely behavioral/navigational.</t>
        </is>
      </c>
    </row>
    <row r="31" ht="60" customHeight="1">
      <c r="A31" s="2" t="inlineStr">
        <is>
          <t>Search</t>
        </is>
      </c>
      <c r="B31" s="2" t="inlineStr">
        <is>
          <t>Information_seeking_behaviors_and_cognitive_strate.pdf</t>
        </is>
      </c>
      <c r="C31" s="2" t="inlineStr">
        <is>
          <t>Information-seeking behaviours and cognitive search strategies in different search tasks on the WWW</t>
        </is>
      </c>
      <c r="D31" s="2" t="inlineStr">
        <is>
          <t>Thatcher, 2006</t>
        </is>
      </c>
      <c r="E31" s="2" t="inlineStr">
        <is>
          <t>V6</t>
        </is>
      </c>
      <c r="F31" s="3" t="inlineStr">
        <is>
          <t>—</t>
        </is>
      </c>
      <c r="G31" s="3" t="inlineStr">
        <is>
          <t>—</t>
        </is>
      </c>
      <c r="H31" s="3" t="inlineStr">
        <is>
          <t>—</t>
        </is>
      </c>
      <c r="I31" s="3" t="inlineStr">
        <is>
          <t>—</t>
        </is>
      </c>
      <c r="J31" s="3" t="inlineStr">
        <is>
          <t>—</t>
        </is>
      </c>
      <c r="K31" s="4" t="inlineStr">
        <is>
          <t>M</t>
        </is>
      </c>
      <c r="L31" s="3" t="inlineStr">
        <is>
          <t>—</t>
        </is>
      </c>
      <c r="M31" s="3" t="inlineStr">
        <is>
          <t>—</t>
        </is>
      </c>
      <c r="N31" s="3" t="inlineStr">
        <is>
          <t>—</t>
        </is>
      </c>
      <c r="O31" s="3" t="inlineStr">
        <is>
          <t>—</t>
        </is>
      </c>
      <c r="P31" s="3" t="inlineStr">
        <is>
          <t>—</t>
        </is>
      </c>
      <c r="Q31" s="3" t="inlineStr">
        <is>
          <t>—</t>
        </is>
      </c>
      <c r="R31" s="2" t="inlineStr">
        <is>
          <t>None explicit (verbal-protocol/behavioral coding study)</t>
        </is>
      </c>
      <c r="S31" s="2" t="inlineStr">
        <is>
          <t>Reading/search goal (directed search vs general-purpose browsing; researcher- vs participant-defined tasks) — central moderator</t>
        </is>
      </c>
      <c r="T31" s="2" t="inlineStr">
        <is>
          <t>n/a</t>
        </is>
      </c>
      <c r="U31" s="2" t="inlineStr">
        <is>
          <t>Identified 12 distinct cognitive search strategies from verbal protocols and log-file data, differing by task type.</t>
        </is>
      </c>
      <c r="V31" s="2" t="inlineStr">
        <is>
          <t>Does not connect strategies to any text/page-design dimension — a purely behavioral taxonomy.</t>
        </is>
      </c>
    </row>
    <row r="32" ht="60" customHeight="1">
      <c r="A32" s="2" t="inlineStr">
        <is>
          <t>Search</t>
        </is>
      </c>
      <c r="B32" s="2" t="inlineStr">
        <is>
          <t>ONLINE HEALTH INFORMATION SEEKING BEHAVIOUR_ UNDERSTANDING DIFFER.pdf</t>
        </is>
      </c>
      <c r="C32" s="2" t="inlineStr">
        <is>
          <t>Online Health Information Seeking Behaviour: Understanding Different Search Approaches</t>
        </is>
      </c>
      <c r="D32" s="2" t="inlineStr">
        <is>
          <t>Pang, Chang, Pearce &amp; Verspoor, 2014</t>
        </is>
      </c>
      <c r="E32" s="2" t="inlineStr">
        <is>
          <t>V6</t>
        </is>
      </c>
      <c r="F32" s="3" t="inlineStr">
        <is>
          <t>—</t>
        </is>
      </c>
      <c r="G32" s="3" t="inlineStr">
        <is>
          <t>—</t>
        </is>
      </c>
      <c r="H32" s="3" t="inlineStr">
        <is>
          <t>—</t>
        </is>
      </c>
      <c r="I32" s="3" t="inlineStr">
        <is>
          <t>—</t>
        </is>
      </c>
      <c r="J32" s="3" t="inlineStr">
        <is>
          <t>—</t>
        </is>
      </c>
      <c r="K32" s="4" t="inlineStr">
        <is>
          <t>M</t>
        </is>
      </c>
      <c r="L32" s="3" t="inlineStr">
        <is>
          <t>—</t>
        </is>
      </c>
      <c r="M32" s="3" t="inlineStr">
        <is>
          <t>—</t>
        </is>
      </c>
      <c r="N32" s="3" t="inlineStr">
        <is>
          <t>—</t>
        </is>
      </c>
      <c r="O32" s="3" t="inlineStr">
        <is>
          <t>—</t>
        </is>
      </c>
      <c r="P32" s="3" t="inlineStr">
        <is>
          <t>—</t>
        </is>
      </c>
      <c r="Q32" s="3" t="inlineStr">
        <is>
          <t>—</t>
        </is>
      </c>
      <c r="R32" s="2" t="inlineStr">
        <is>
          <t>None explicit; discusses 'learning and investigating' processes akin to macrostructure construction during exploratory search</t>
        </is>
      </c>
      <c r="S32" s="2" t="inlineStr">
        <is>
          <t>Reading goal (focused keyword search vs exploratory search) x reader profile (lay health-information seekers unfamiliar with medical domain)</t>
        </is>
      </c>
      <c r="T32" s="2" t="inlineStr">
        <is>
          <t>n/a — qualitative conceptual study, argues for future theme-based system support</t>
        </is>
      </c>
      <c r="U32" s="2" t="inlineStr">
        <is>
          <t>Lay health-information seekers need exploratory (not just keyword) search for unfamiliar problems, but current search engines poorly support this.</t>
        </is>
      </c>
      <c r="V32" s="2" t="inlineStr">
        <is>
          <t>Does not test any specific text or layout manipulation; conclusions are qualitative rather than tied to a measurable readability dimension.</t>
        </is>
      </c>
    </row>
    <row r="33" ht="60" customHeight="1">
      <c r="A33" s="2" t="inlineStr">
        <is>
          <t>Search</t>
        </is>
      </c>
      <c r="B33" s="2" t="inlineStr">
        <is>
          <t>Rouet_etal-2002_DP.pdf</t>
        </is>
      </c>
      <c r="C33" s="2" t="inlineStr">
        <is>
          <t>Effects of information search tasks on the comprehension of instructional text</t>
        </is>
      </c>
      <c r="D33" s="2" t="inlineStr">
        <is>
          <t>Rouet, Vidal-Abarca, Bert Erboul &amp; Millogo, ~2001 (Discourse Processes)</t>
        </is>
      </c>
      <c r="E33" s="2" t="inlineStr">
        <is>
          <t>L3, L4, L5, V5</t>
        </is>
      </c>
      <c r="F33" s="3" t="inlineStr">
        <is>
          <t>—</t>
        </is>
      </c>
      <c r="G33" s="3" t="inlineStr">
        <is>
          <t>—</t>
        </is>
      </c>
      <c r="H33" s="3" t="inlineStr">
        <is>
          <t>—</t>
        </is>
      </c>
      <c r="I33" s="3" t="inlineStr">
        <is>
          <t>—</t>
        </is>
      </c>
      <c r="J33" s="4" t="inlineStr">
        <is>
          <t>M</t>
        </is>
      </c>
      <c r="K33" s="6" t="inlineStr">
        <is>
          <t>L</t>
        </is>
      </c>
      <c r="L33" s="3" t="inlineStr">
        <is>
          <t>—</t>
        </is>
      </c>
      <c r="M33" s="3" t="inlineStr">
        <is>
          <t>—</t>
        </is>
      </c>
      <c r="N33" s="5" t="inlineStr">
        <is>
          <t>H</t>
        </is>
      </c>
      <c r="O33" s="6" t="inlineStr">
        <is>
          <t>L</t>
        </is>
      </c>
      <c r="P33" s="5" t="inlineStr">
        <is>
          <t>H</t>
        </is>
      </c>
      <c r="Q33" s="3" t="inlineStr">
        <is>
          <t>—</t>
        </is>
      </c>
      <c r="R33" s="2" t="inlineStr">
        <is>
          <t>Macrostructure construction (central theoretical mechanism via situation-model building); WM load management (implied for managing complex instructional text)</t>
        </is>
      </c>
      <c r="S33" s="2" t="inlineStr">
        <is>
          <t>Reading goal (high-level vs low-level search questions; review-and-integrate vs locate-and-memorize strategies) x text presentation (structured overview/TOC vs none)</t>
        </is>
      </c>
      <c r="T33" s="2" t="inlineStr">
        <is>
          <t>Theme-based; text-side (adding structured overview/TOC) and reader-side (varying task instructions)</t>
        </is>
      </c>
      <c r="U33" s="2" t="inlineStr">
        <is>
          <t>High-level search questions promoted review-and-integrate strategy while low-level questions triggered locate-and-memorize; a structured overview increased study time and aided localization but not summary content.</t>
        </is>
      </c>
      <c r="V33" s="2" t="inlineStr">
        <is>
          <t>Does not manipulate any visual/typographic property (V1-V4,V6) of the text — the structured overview's visual layout implementation is not evaluated.</t>
        </is>
      </c>
    </row>
    <row r="34" ht="60" customHeight="1">
      <c r="A34" s="2" t="inlineStr">
        <is>
          <t>Search</t>
        </is>
      </c>
      <c r="B34" s="2" t="inlineStr">
        <is>
          <t>Zhiwen_Liang-Thesis_v4.pdf</t>
        </is>
      </c>
      <c r="C34" s="2" t="inlineStr">
        <is>
          <t>The Effectiveness of Infographics Layout in Information Searching and Scanning: An Eye Tracking Study</t>
        </is>
      </c>
      <c r="D34" s="2" t="inlineStr">
        <is>
          <t>Liang, 2013 (MS Thesis, Penn State)</t>
        </is>
      </c>
      <c r="E34" s="2" t="inlineStr">
        <is>
          <t>V3, V5</t>
        </is>
      </c>
      <c r="F34" s="6" t="inlineStr">
        <is>
          <t>L</t>
        </is>
      </c>
      <c r="G34" s="3" t="inlineStr">
        <is>
          <t>—</t>
        </is>
      </c>
      <c r="H34" s="4" t="inlineStr">
        <is>
          <t>M</t>
        </is>
      </c>
      <c r="I34" s="3" t="inlineStr">
        <is>
          <t>—</t>
        </is>
      </c>
      <c r="J34" s="5" t="inlineStr">
        <is>
          <t>H</t>
        </is>
      </c>
      <c r="K34" s="6" t="inlineStr">
        <is>
          <t>L</t>
        </is>
      </c>
      <c r="L34" s="3" t="inlineStr">
        <is>
          <t>—</t>
        </is>
      </c>
      <c r="M34" s="3" t="inlineStr">
        <is>
          <t>—</t>
        </is>
      </c>
      <c r="N34" s="3" t="inlineStr">
        <is>
          <t>—</t>
        </is>
      </c>
      <c r="O34" s="3" t="inlineStr">
        <is>
          <t>—</t>
        </is>
      </c>
      <c r="P34" s="6" t="inlineStr">
        <is>
          <t>L</t>
        </is>
      </c>
      <c r="Q34" s="3" t="inlineStr">
        <is>
          <t>—</t>
        </is>
      </c>
      <c r="R34" s="2" t="inlineStr">
        <is>
          <t>Attentional guidance (eye-tracking fixation/saccade metrics); WM load management (radial layout plausibly reduces WM demand for holding multiple values during comparison)</t>
        </is>
      </c>
      <c r="S34" s="2" t="inlineStr">
        <is>
          <t>Task goal (first-level search/perception vs second-level value comparison) — no reader-profile variation</t>
        </is>
      </c>
      <c r="T34" s="2" t="inlineStr">
        <is>
          <t>n/a — controlled experiment; supports theme-based design guideline (radial layout for comparison tasks)</t>
        </is>
      </c>
      <c r="U34" s="2" t="inlineStr">
        <is>
          <t>Linear and radial infographic layouts performed equivalently for simple searching/scanning, but radial layout significantly outperformed linear on comparison tasks.</t>
        </is>
      </c>
      <c r="V34" s="2" t="inlineStr">
        <is>
          <t>Does not address any linguistic/text dimension (L1-L6), since stimuli were purely graphical infographics.</t>
        </is>
      </c>
    </row>
    <row r="35" ht="60" customHeight="1">
      <c r="A35" s="2" t="inlineStr">
        <is>
          <t>Search</t>
        </is>
      </c>
      <c r="B35" s="2" t="inlineStr">
        <is>
          <t>fpsyg-14-1052488.pdf</t>
        </is>
      </c>
      <c r="C35" s="2" t="inlineStr">
        <is>
          <t>The influence of target layout and target graphic type on searching performance based on eye-tracking technology</t>
        </is>
      </c>
      <c r="D35" s="2" t="inlineStr">
        <is>
          <t>Zuo, Qi, Fan, Wang, Xu, Wang, Zhang &amp; Hu, 2023</t>
        </is>
      </c>
      <c r="E35" s="2" t="inlineStr">
        <is>
          <t>V2, V3, V5</t>
        </is>
      </c>
      <c r="F35" s="6" t="inlineStr">
        <is>
          <t>L</t>
        </is>
      </c>
      <c r="G35" s="4" t="inlineStr">
        <is>
          <t>M</t>
        </is>
      </c>
      <c r="H35" s="5" t="inlineStr">
        <is>
          <t>H</t>
        </is>
      </c>
      <c r="I35" s="3" t="inlineStr">
        <is>
          <t>—</t>
        </is>
      </c>
      <c r="J35" s="4" t="inlineStr">
        <is>
          <t>M</t>
        </is>
      </c>
      <c r="K35" s="6" t="inlineStr">
        <is>
          <t>L</t>
        </is>
      </c>
      <c r="L35" s="3" t="inlineStr">
        <is>
          <t>—</t>
        </is>
      </c>
      <c r="M35" s="3" t="inlineStr">
        <is>
          <t>—</t>
        </is>
      </c>
      <c r="N35" s="3" t="inlineStr">
        <is>
          <t>—</t>
        </is>
      </c>
      <c r="O35" s="3" t="inlineStr">
        <is>
          <t>—</t>
        </is>
      </c>
      <c r="P35" s="3" t="inlineStr">
        <is>
          <t>—</t>
        </is>
      </c>
      <c r="Q35" s="3" t="inlineStr">
        <is>
          <t>—</t>
        </is>
      </c>
      <c r="R35" s="2" t="inlineStr">
        <is>
          <t>Attentional guidance (fixation/saccade patterns explain location and layout effects); crowding relief (implicit in icon graphic-type discriminability)</t>
        </is>
      </c>
      <c r="S35" s="2" t="inlineStr">
        <is>
          <t>Medium (interface layout: circular vs rectangular; icon location: top vs bottom half) — no explicit reader-profile or reading-goal variation</t>
        </is>
      </c>
      <c r="T35" s="2" t="inlineStr">
        <is>
          <t>n/a — experimental HCI study; suggests theme-based/text-side interface guidelines</t>
        </is>
      </c>
      <c r="U35" s="2" t="inlineStr">
        <is>
          <t>Icons in the top half of an interface were found faster than those in the bottom half regardless of layout shape; circular layout more stable than rectangular; facet icons more stable than linear.</t>
        </is>
      </c>
      <c r="V35" s="2" t="inlineStr">
        <is>
          <t>Does not address any text/linguistic dimension (L1-L6) — purely icon/graphic-based visual search, unconnected to continuous-text reading.</t>
        </is>
      </c>
    </row>
    <row r="36" ht="60" customHeight="1">
      <c r="A36" s="2" t="inlineStr">
        <is>
          <t>Skimming</t>
        </is>
      </c>
      <c r="B36" s="2" t="inlineStr">
        <is>
          <t>12909_2025_Article_8412.pdf</t>
        </is>
      </c>
      <c r="C36" s="2" t="inlineStr">
        <is>
          <t>Reading and skimming clinical information: insights from experiments examining medical students' eye movement behaviour</t>
        </is>
      </c>
      <c r="D36" s="2" t="inlineStr">
        <is>
          <t>Soltan et al., 2025 (BMC Medical Education)</t>
        </is>
      </c>
      <c r="E36" s="2" t="inlineStr">
        <is>
          <t>V2, L3</t>
        </is>
      </c>
      <c r="F36" s="3" t="inlineStr">
        <is>
          <t>—</t>
        </is>
      </c>
      <c r="G36" s="5" t="inlineStr">
        <is>
          <t>H</t>
        </is>
      </c>
      <c r="H36" s="3" t="inlineStr">
        <is>
          <t>—</t>
        </is>
      </c>
      <c r="I36" s="3" t="inlineStr">
        <is>
          <t>—</t>
        </is>
      </c>
      <c r="J36" s="3" t="inlineStr">
        <is>
          <t>—</t>
        </is>
      </c>
      <c r="K36" s="3" t="inlineStr">
        <is>
          <t>—</t>
        </is>
      </c>
      <c r="L36" s="3" t="inlineStr">
        <is>
          <t>—</t>
        </is>
      </c>
      <c r="M36" s="3" t="inlineStr">
        <is>
          <t>—</t>
        </is>
      </c>
      <c r="N36" s="6" t="inlineStr">
        <is>
          <t>L</t>
        </is>
      </c>
      <c r="O36" s="3" t="inlineStr">
        <is>
          <t>—</t>
        </is>
      </c>
      <c r="P36" s="3" t="inlineStr">
        <is>
          <t>—</t>
        </is>
      </c>
      <c r="Q36" s="3" t="inlineStr">
        <is>
          <t>—</t>
        </is>
      </c>
      <c r="R36" s="2" t="inlineStr">
        <is>
          <t>Lexical access facilitation (font legibility); attentional guidance (skim vs comprehension changes fixation allocation)</t>
        </is>
      </c>
      <c r="S36" s="2" t="inlineStr">
        <is>
          <t>Reading goal (skim vs read for comprehension) x font legibility x context/accuracy; medical students</t>
        </is>
      </c>
      <c r="T36" s="2" t="inlineStr">
        <is>
          <t>n/a (experimental study, not adaptive system)</t>
        </is>
      </c>
      <c r="U36" s="2" t="inlineStr">
        <is>
          <t>Skim-reading produced shorter/fewer fixations and shallower processing than reading for comprehension; a less legible font slowed reading similarly under both strategies.</t>
        </is>
      </c>
      <c r="V36" s="2" t="inlineStr">
        <is>
          <t>Does not manipulate any structural/rhetorical (L5) or layout (V1/V5) features that could support skimming despite explicitly studying a skim task.</t>
        </is>
      </c>
    </row>
    <row r="37" ht="60" customHeight="1">
      <c r="A37" s="2" t="inlineStr">
        <is>
          <t>Skimming</t>
        </is>
      </c>
      <c r="B37" s="2" t="inlineStr">
        <is>
          <t>1963-tinker-legibilityofprint.pdf</t>
        </is>
      </c>
      <c r="C37" s="2" t="inlineStr">
        <is>
          <t>Legibility of Print</t>
        </is>
      </c>
      <c r="D37" s="2" t="inlineStr">
        <is>
          <t>Miles A. Tinker, 1963</t>
        </is>
      </c>
      <c r="E37" s="2" t="inlineStr">
        <is>
          <t>V1, V2</t>
        </is>
      </c>
      <c r="F37" s="5" t="inlineStr">
        <is>
          <t>H</t>
        </is>
      </c>
      <c r="G37" s="5" t="inlineStr">
        <is>
          <t>H</t>
        </is>
      </c>
      <c r="H37" s="6" t="inlineStr">
        <is>
          <t>L</t>
        </is>
      </c>
      <c r="I37" s="3" t="inlineStr">
        <is>
          <t>—</t>
        </is>
      </c>
      <c r="J37" s="6" t="inlineStr">
        <is>
          <t>L</t>
        </is>
      </c>
      <c r="K37" s="3" t="inlineStr">
        <is>
          <t>—</t>
        </is>
      </c>
      <c r="L37" s="3" t="inlineStr">
        <is>
          <t>—</t>
        </is>
      </c>
      <c r="M37" s="3" t="inlineStr">
        <is>
          <t>—</t>
        </is>
      </c>
      <c r="N37" s="3" t="inlineStr">
        <is>
          <t>—</t>
        </is>
      </c>
      <c r="O37" s="3" t="inlineStr">
        <is>
          <t>—</t>
        </is>
      </c>
      <c r="P37" s="3" t="inlineStr">
        <is>
          <t>—</t>
        </is>
      </c>
      <c r="Q37" s="3" t="inlineStr">
        <is>
          <t>—</t>
        </is>
      </c>
      <c r="R37" s="2" t="inlineStr">
        <is>
          <t>Crowding relief (implicit, via spacing); lexical access facilitation (via legible type)</t>
        </is>
      </c>
      <c r="S37" s="2" t="inlineStr">
        <is>
          <t>Age/vision (children vs adults); paper medium only</t>
        </is>
      </c>
      <c r="T37" s="2" t="inlineStr">
        <is>
          <t>Fixed population default; text-side (universal typographic standards)</t>
        </is>
      </c>
      <c r="U37" s="2" t="inlineStr">
        <is>
          <t>Establishes empirically-derived typographic standards (~10-12pt type, optimal line length and leading) for maximizing print reading speed and comfort.</t>
        </is>
      </c>
      <c r="V37" s="2" t="inlineStr">
        <is>
          <t>Entirely pre-digital; omits temporal/navigation (V4/V6) and all linguistic (L) dimensions.</t>
        </is>
      </c>
    </row>
    <row r="38" ht="60" customHeight="1">
      <c r="A38" s="2" t="inlineStr">
        <is>
          <t>Skimming</t>
        </is>
      </c>
      <c r="B38" s="2" t="inlineStr">
        <is>
          <t>23-Submission+405+pp+162-170.pdf</t>
        </is>
      </c>
      <c r="C38" s="2" t="inlineStr">
        <is>
          <t>Cognitive Processes in Reading Comprehension: A Theoretical Framework for Foreign Language Acquisition</t>
        </is>
      </c>
      <c r="D38" s="2" t="inlineStr">
        <is>
          <t>Marija Todorova, 2024</t>
        </is>
      </c>
      <c r="E38" s="2" t="inlineStr">
        <is>
          <t>L3</t>
        </is>
      </c>
      <c r="F38" s="3" t="inlineStr">
        <is>
          <t>—</t>
        </is>
      </c>
      <c r="G38" s="3" t="inlineStr">
        <is>
          <t>—</t>
        </is>
      </c>
      <c r="H38" s="3" t="inlineStr">
        <is>
          <t>—</t>
        </is>
      </c>
      <c r="I38" s="3" t="inlineStr">
        <is>
          <t>—</t>
        </is>
      </c>
      <c r="J38" s="3" t="inlineStr">
        <is>
          <t>—</t>
        </is>
      </c>
      <c r="K38" s="3" t="inlineStr">
        <is>
          <t>—</t>
        </is>
      </c>
      <c r="L38" s="6" t="inlineStr">
        <is>
          <t>L</t>
        </is>
      </c>
      <c r="M38" s="6" t="inlineStr">
        <is>
          <t>L</t>
        </is>
      </c>
      <c r="N38" s="4" t="inlineStr">
        <is>
          <t>M</t>
        </is>
      </c>
      <c r="O38" s="3" t="inlineStr">
        <is>
          <t>—</t>
        </is>
      </c>
      <c r="P38" s="3" t="inlineStr">
        <is>
          <t>—</t>
        </is>
      </c>
      <c r="Q38" s="3" t="inlineStr">
        <is>
          <t>—</t>
        </is>
      </c>
      <c r="R38" s="2" t="inlineStr">
        <is>
          <t>Macrostructure construction (schema theory); WM load management (cognitive load theory) — both central explicit theoretical foci</t>
        </is>
      </c>
      <c r="S38" s="2" t="inlineStr">
        <is>
          <t>L2/L3 (foreign language) status as reader profile; prior knowledge/schema availability</t>
        </is>
      </c>
      <c r="T38" s="2" t="inlineStr">
        <is>
          <t>Reader-side (implies instructional practice), not personalized/individuated</t>
        </is>
      </c>
      <c r="U38" s="2" t="inlineStr">
        <is>
          <t>Schema theory and cognitive load theory jointly explain why FL reading comprehension is constrained by insufficient background knowledge and limited working-memory capacity.</t>
        </is>
      </c>
      <c r="V38" s="2" t="inlineStr">
        <is>
          <t>Purely theoretical review with no empirical text or layout manipulation; doesn't connect theory to any concrete V/L design dimension.</t>
        </is>
      </c>
    </row>
    <row r="39" ht="60" customHeight="1">
      <c r="A39" s="2" t="inlineStr">
        <is>
          <t>Skimming</t>
        </is>
      </c>
      <c r="B39" s="2" t="inlineStr">
        <is>
          <t>2362364.2362366.pdf</t>
        </is>
      </c>
      <c r="C39" s="2" t="inlineStr">
        <is>
          <t>Designing a Multi-Slate Reading Environment to Support Active Reading Activities</t>
        </is>
      </c>
      <c r="D39" s="2" t="inlineStr">
        <is>
          <t>Chen, Guimbretiere &amp; Sellen, 2012 (ACM TOCHI)</t>
        </is>
      </c>
      <c r="E39" s="2" t="inlineStr">
        <is>
          <t>V4, V5, V6</t>
        </is>
      </c>
      <c r="F39" s="6" t="inlineStr">
        <is>
          <t>L</t>
        </is>
      </c>
      <c r="G39" s="3" t="inlineStr">
        <is>
          <t>—</t>
        </is>
      </c>
      <c r="H39" s="6" t="inlineStr">
        <is>
          <t>L</t>
        </is>
      </c>
      <c r="I39" s="4" t="inlineStr">
        <is>
          <t>M</t>
        </is>
      </c>
      <c r="J39" s="4" t="inlineStr">
        <is>
          <t>M</t>
        </is>
      </c>
      <c r="K39" s="5" t="inlineStr">
        <is>
          <t>H</t>
        </is>
      </c>
      <c r="L39" s="3" t="inlineStr">
        <is>
          <t>—</t>
        </is>
      </c>
      <c r="M39" s="3" t="inlineStr">
        <is>
          <t>—</t>
        </is>
      </c>
      <c r="N39" s="3" t="inlineStr">
        <is>
          <t>—</t>
        </is>
      </c>
      <c r="O39" s="3" t="inlineStr">
        <is>
          <t>—</t>
        </is>
      </c>
      <c r="P39" s="3" t="inlineStr">
        <is>
          <t>—</t>
        </is>
      </c>
      <c r="Q39" s="3" t="inlineStr">
        <is>
          <t>—</t>
        </is>
      </c>
      <c r="R39" s="2" t="inlineStr">
        <is>
          <t>Attentional guidance (spatial memory of physical slate location); WM load management (offloading document structure onto physical space)</t>
        </is>
      </c>
      <c r="S39" s="2" t="inlineStr">
        <is>
          <t>Reading goal (active reading: skim/annotate/cross-reference/multitask); medium (paper vs electronic vs multi-slate)</t>
        </is>
      </c>
      <c r="T39" s="2" t="inlineStr">
        <is>
          <t>Individuated (user configures/links slates per task); text/system-side, not text-content adaptation</t>
        </is>
      </c>
      <c r="U39" s="2" t="inlineStr">
        <is>
          <t>A multi-slate electronic reading environment can replicate paper's spatial affordances while adding digital connectivity; preliminary study suggests it is a viable paper alternative.</t>
        </is>
      </c>
      <c r="V39" s="2" t="inlineStr">
        <is>
          <t>Doesn't examine any linguistic/text-content dimensions (L1-L6) or rigorously measure comprehension outcomes.</t>
        </is>
      </c>
    </row>
    <row r="40" ht="60" customHeight="1">
      <c r="A40" s="2" t="inlineStr">
        <is>
          <t>Skimming</t>
        </is>
      </c>
      <c r="B40" s="2" t="inlineStr">
        <is>
          <t>2615569.2615682.pdf</t>
        </is>
      </c>
      <c r="C40" s="2" t="inlineStr">
        <is>
          <t>Skim Reading: An Adaptive Strategy for Reading on the Web</t>
        </is>
      </c>
      <c r="D40" s="2" t="inlineStr">
        <is>
          <t>Fitzsimmons, Weal &amp; Drieghe, 2014 (ACM Hypertext)</t>
        </is>
      </c>
      <c r="E40" s="2" t="inlineStr">
        <is>
          <t>V3, V6</t>
        </is>
      </c>
      <c r="F40" s="3" t="inlineStr">
        <is>
          <t>—</t>
        </is>
      </c>
      <c r="G40" s="3" t="inlineStr">
        <is>
          <t>—</t>
        </is>
      </c>
      <c r="H40" s="5" t="inlineStr">
        <is>
          <t>H</t>
        </is>
      </c>
      <c r="I40" s="3" t="inlineStr">
        <is>
          <t>—</t>
        </is>
      </c>
      <c r="J40" s="6" t="inlineStr">
        <is>
          <t>L</t>
        </is>
      </c>
      <c r="K40" s="5" t="inlineStr">
        <is>
          <t>H</t>
        </is>
      </c>
      <c r="L40" s="3" t="inlineStr">
        <is>
          <t>—</t>
        </is>
      </c>
      <c r="M40" s="3" t="inlineStr">
        <is>
          <t>—</t>
        </is>
      </c>
      <c r="N40" s="3" t="inlineStr">
        <is>
          <t>—</t>
        </is>
      </c>
      <c r="O40" s="3" t="inlineStr">
        <is>
          <t>—</t>
        </is>
      </c>
      <c r="P40" s="3" t="inlineStr">
        <is>
          <t>—</t>
        </is>
      </c>
      <c r="Q40" s="3" t="inlineStr">
        <is>
          <t>—</t>
        </is>
      </c>
      <c r="R40" s="2" t="inlineStr">
        <is>
          <t>Attentional guidance (central); light macrostructure construction (using links to build gist)</t>
        </is>
      </c>
      <c r="S40" s="2" t="inlineStr">
        <is>
          <t>Reading goal (skim vs comprehension); medium (web/hypertext)</t>
        </is>
      </c>
      <c r="T40" s="2" t="inlineStr">
        <is>
          <t>n/a (observational eye-tracking study); implies text-side design choice of which words to hyperlink</t>
        </is>
      </c>
      <c r="U40" s="2" t="inlineStr">
        <is>
          <t>Skimming reduces comprehension and increases speed, but hyperlinks help readers identify important information, suggesting an adaptive information-foraging strategy.</t>
        </is>
      </c>
      <c r="V40" s="2" t="inlineStr">
        <is>
          <t>Doesn't examine typographic dimensions (V1/V2) or reader-profile moderators that might interact with hyperlink use.</t>
        </is>
      </c>
    </row>
    <row r="41" ht="60" customHeight="1">
      <c r="A41" s="2" t="inlineStr">
        <is>
          <t>Skimming</t>
        </is>
      </c>
      <c r="B41" s="2" t="inlineStr">
        <is>
          <t>978-3-030-90984-0.pdf</t>
        </is>
      </c>
      <c r="C41" s="2" t="inlineStr">
        <is>
          <t>The Legibility of Serif and Sans Serif Typefaces: Reading from Paper and Reading from Screens</t>
        </is>
      </c>
      <c r="D41" s="2" t="inlineStr">
        <is>
          <t>John T. E. Richardson, 2022 (SpringerBriefs)</t>
        </is>
      </c>
      <c r="E41" s="2" t="inlineStr">
        <is>
          <t>V2</t>
        </is>
      </c>
      <c r="F41" s="6" t="inlineStr">
        <is>
          <t>L</t>
        </is>
      </c>
      <c r="G41" s="5" t="inlineStr">
        <is>
          <t>H</t>
        </is>
      </c>
      <c r="H41" s="3" t="inlineStr">
        <is>
          <t>—</t>
        </is>
      </c>
      <c r="I41" s="6" t="inlineStr">
        <is>
          <t>L</t>
        </is>
      </c>
      <c r="J41" s="3" t="inlineStr">
        <is>
          <t>—</t>
        </is>
      </c>
      <c r="K41" s="3" t="inlineStr">
        <is>
          <t>—</t>
        </is>
      </c>
      <c r="L41" s="3" t="inlineStr">
        <is>
          <t>—</t>
        </is>
      </c>
      <c r="M41" s="3" t="inlineStr">
        <is>
          <t>—</t>
        </is>
      </c>
      <c r="N41" s="3" t="inlineStr">
        <is>
          <t>—</t>
        </is>
      </c>
      <c r="O41" s="3" t="inlineStr">
        <is>
          <t>—</t>
        </is>
      </c>
      <c r="P41" s="3" t="inlineStr">
        <is>
          <t>—</t>
        </is>
      </c>
      <c r="Q41" s="6" t="inlineStr">
        <is>
          <t>L</t>
        </is>
      </c>
      <c r="R41" s="2" t="inlineStr">
        <is>
          <t>Lexical access facilitation (letter/word recognition); crowding relief (letter-confusion discussion)</t>
        </is>
      </c>
      <c r="S41" s="2" t="inlineStr">
        <is>
          <t>Medium (paper vs screen); age (children vs older readers); disability (dyslexia, visual impairment, aphasia)</t>
        </is>
      </c>
      <c r="T41" s="2" t="inlineStr">
        <is>
          <t>Fixed population default; text-side — critiques lack of evidence for population-wide serif/sans-serif recommendations</t>
        </is>
      </c>
      <c r="U41" s="2" t="inlineStr">
        <is>
          <t>Comprehensive review finds little robust evidence that serif vs sans serif typefaces differ meaningfully in legibility, speed, or comprehension across paper or screen.</t>
        </is>
      </c>
      <c r="V41" s="2" t="inlineStr">
        <is>
          <t>Narrowly focused on typeface family; doesn't address V1 spacing/line-length or any L-layer dimensions.</t>
        </is>
      </c>
    </row>
    <row r="42" ht="60" customHeight="1">
      <c r="A42" s="2" t="inlineStr">
        <is>
          <t>Skimming</t>
        </is>
      </c>
      <c r="B42" s="2" t="inlineStr">
        <is>
          <t>9781315841373_previewpdf (2).pdf</t>
        </is>
      </c>
      <c r="C42" s="2" t="inlineStr">
        <is>
          <t>Reading in a Second Language: Process, Product and Practice</t>
        </is>
      </c>
      <c r="D42" s="2" t="inlineStr">
        <is>
          <t>A.H. Urquhart &amp; C.J. Weir, 1998</t>
        </is>
      </c>
      <c r="E42" s="2" t="inlineStr">
        <is>
          <t>L1, L2, L3, L4</t>
        </is>
      </c>
      <c r="F42" s="3" t="inlineStr">
        <is>
          <t>—</t>
        </is>
      </c>
      <c r="G42" s="3" t="inlineStr">
        <is>
          <t>—</t>
        </is>
      </c>
      <c r="H42" s="3" t="inlineStr">
        <is>
          <t>—</t>
        </is>
      </c>
      <c r="I42" s="3" t="inlineStr">
        <is>
          <t>—</t>
        </is>
      </c>
      <c r="J42" s="6" t="inlineStr">
        <is>
          <t>L</t>
        </is>
      </c>
      <c r="K42" s="3" t="inlineStr">
        <is>
          <t>—</t>
        </is>
      </c>
      <c r="L42" s="4" t="inlineStr">
        <is>
          <t>M</t>
        </is>
      </c>
      <c r="M42" s="4" t="inlineStr">
        <is>
          <t>M</t>
        </is>
      </c>
      <c r="N42" s="5" t="inlineStr">
        <is>
          <t>H</t>
        </is>
      </c>
      <c r="O42" s="4" t="inlineStr">
        <is>
          <t>M</t>
        </is>
      </c>
      <c r="P42" s="6" t="inlineStr">
        <is>
          <t>L</t>
        </is>
      </c>
      <c r="Q42" s="6" t="inlineStr">
        <is>
          <t>L</t>
        </is>
      </c>
      <c r="R42" s="2" t="inlineStr">
        <is>
          <t>Macrostructure construction (schema-building, central); lexical access facilitation (word recognition components); WM load management (componential models)</t>
        </is>
      </c>
      <c r="S42" s="2" t="inlineStr">
        <is>
          <t>L2 status/proficiency (central reader profile); reading goal/purpose (types of reading, testing constructs)</t>
        </is>
      </c>
      <c r="T42" s="2" t="inlineStr">
        <is>
          <t>Reader-side (metacognitive/cognitive strategy instruction matched to purpose)</t>
        </is>
      </c>
      <c r="U42" s="2" t="inlineStr">
        <is>
          <t>Synthesizes reading process/testing/teaching research arguing comprehension is componential (word recognition + language + background knowledge); pedagogy must match strategy instruction to reading purpose.</t>
        </is>
      </c>
      <c r="V42" s="2" t="inlineStr">
        <is>
          <t>Almost entirely omits text-visual-form dimensions (V1-V6); no discussion of typography, layout, or digital medium.</t>
        </is>
      </c>
    </row>
    <row r="43" ht="60" customHeight="1">
      <c r="A43" s="2" t="inlineStr">
        <is>
          <t>Skimming</t>
        </is>
      </c>
      <c r="B43" s="2" t="inlineStr">
        <is>
          <t>Aneyetrackingstudyofhowfontsize.pdf</t>
        </is>
      </c>
      <c r="C43" s="2" t="inlineStr">
        <is>
          <t>An Eye Tracking Study of How Font Size and Type Influence Online Reading</t>
        </is>
      </c>
      <c r="D43" s="2" t="inlineStr">
        <is>
          <t>Beymer, Russell &amp; Orton, 2008 (CHI)</t>
        </is>
      </c>
      <c r="E43" s="2" t="inlineStr">
        <is>
          <t>V2</t>
        </is>
      </c>
      <c r="F43" s="3" t="inlineStr">
        <is>
          <t>—</t>
        </is>
      </c>
      <c r="G43" s="5" t="inlineStr">
        <is>
          <t>H</t>
        </is>
      </c>
      <c r="H43" s="3" t="inlineStr">
        <is>
          <t>—</t>
        </is>
      </c>
      <c r="I43" s="3" t="inlineStr">
        <is>
          <t>—</t>
        </is>
      </c>
      <c r="J43" s="3" t="inlineStr">
        <is>
          <t>—</t>
        </is>
      </c>
      <c r="K43" s="3" t="inlineStr">
        <is>
          <t>—</t>
        </is>
      </c>
      <c r="L43" s="3" t="inlineStr">
        <is>
          <t>—</t>
        </is>
      </c>
      <c r="M43" s="3" t="inlineStr">
        <is>
          <t>—</t>
        </is>
      </c>
      <c r="N43" s="3" t="inlineStr">
        <is>
          <t>—</t>
        </is>
      </c>
      <c r="O43" s="3" t="inlineStr">
        <is>
          <t>—</t>
        </is>
      </c>
      <c r="P43" s="3" t="inlineStr">
        <is>
          <t>—</t>
        </is>
      </c>
      <c r="Q43" s="3" t="inlineStr">
        <is>
          <t>—</t>
        </is>
      </c>
      <c r="R43" s="2" t="inlineStr">
        <is>
          <t>Lexical access facilitation / crowding relief (smaller fonts → longer fixations)</t>
        </is>
      </c>
      <c r="S43" s="2" t="inlineStr">
        <is>
          <t>Age group; native/non-native English speaker status; medium (online/screen)</t>
        </is>
      </c>
      <c r="T43" s="2" t="inlineStr">
        <is>
          <t>n/a (empirical study); implies fixed text-side recommendation (~12pt optimal)</t>
        </is>
      </c>
      <c r="U43" s="2" t="inlineStr">
        <is>
          <t>Smaller font sizes produce longer fixation durations and slower reading online; serif vs sans serif differences were not significant, though age and native-language status moderated eye-movement patterns.</t>
        </is>
      </c>
      <c r="V43" s="2" t="inlineStr">
        <is>
          <t>Doesn't investigate spacing/line-length (V1) or content-structural dimensions interacting with font effects.</t>
        </is>
      </c>
    </row>
    <row r="44" ht="60" customHeight="1">
      <c r="A44" s="2" t="inlineStr">
        <is>
          <t>Skimming</t>
        </is>
      </c>
      <c r="B44" s="2" t="inlineStr">
        <is>
          <t>Clinton-2019-Journal_of_Research_in_Reading.pdf</t>
        </is>
      </c>
      <c r="C44" s="2" t="inlineStr">
        <is>
          <t>Reading from paper compared to screens: A systematic review and meta-analysis</t>
        </is>
      </c>
      <c r="D44" s="2" t="inlineStr">
        <is>
          <t>Virginia Clinton, 2019</t>
        </is>
      </c>
      <c r="E44" s="2" t="inlineStr">
        <is>
          <t>V4, L6</t>
        </is>
      </c>
      <c r="F44" s="3" t="inlineStr">
        <is>
          <t>—</t>
        </is>
      </c>
      <c r="G44" s="3" t="inlineStr">
        <is>
          <t>—</t>
        </is>
      </c>
      <c r="H44" s="3" t="inlineStr">
        <is>
          <t>—</t>
        </is>
      </c>
      <c r="I44" s="5" t="inlineStr">
        <is>
          <t>H</t>
        </is>
      </c>
      <c r="J44" s="3" t="inlineStr">
        <is>
          <t>—</t>
        </is>
      </c>
      <c r="K44" s="3" t="inlineStr">
        <is>
          <t>—</t>
        </is>
      </c>
      <c r="L44" s="3" t="inlineStr">
        <is>
          <t>—</t>
        </is>
      </c>
      <c r="M44" s="3" t="inlineStr">
        <is>
          <t>—</t>
        </is>
      </c>
      <c r="N44" s="3" t="inlineStr">
        <is>
          <t>—</t>
        </is>
      </c>
      <c r="O44" s="3" t="inlineStr">
        <is>
          <t>—</t>
        </is>
      </c>
      <c r="P44" s="3" t="inlineStr">
        <is>
          <t>—</t>
        </is>
      </c>
      <c r="Q44" s="4" t="inlineStr">
        <is>
          <t>M</t>
        </is>
      </c>
      <c r="R44" s="2" t="inlineStr">
        <is>
          <t>WM load management / attentional guidance (shallower processing on screen hypothesized); metacognitive calibration</t>
        </is>
      </c>
      <c r="S44" s="2" t="inlineStr">
        <is>
          <t>Medium (paper vs screen) x genre (expository/narrative) x performance/time/calibration measures</t>
        </is>
      </c>
      <c r="T44" s="2" t="inlineStr">
        <is>
          <t>n/a (meta-analysis)</t>
        </is>
      </c>
      <c r="U44" s="2" t="inlineStr">
        <is>
          <t>Screen reading shows a small but reliable negative effect on comprehension (g=.25) vs paper, concentrated in expository texts, with no reliable difference in reading time; paper yields better metacognitive calibration.</t>
        </is>
      </c>
      <c r="V44" s="2" t="inlineStr">
        <is>
          <t>As a meta-analysis, aggregates across studies without isolating specific V1/V2/V5/V6 sub-factors that might explain the screen deficit.</t>
        </is>
      </c>
    </row>
    <row r="45" ht="60" customHeight="1">
      <c r="A45" s="2" t="inlineStr">
        <is>
          <t>Skimming</t>
        </is>
      </c>
      <c r="B45" s="2" t="inlineStr">
        <is>
          <t>DugganPayne11.pdf, Duggan_Payne_11.pdf</t>
        </is>
      </c>
      <c r="C45" s="2" t="inlineStr">
        <is>
          <t>Skim Reading by Satisficing: Evidence from Eye Tracking</t>
        </is>
      </c>
      <c r="D45" s="2" t="inlineStr">
        <is>
          <t>Duggan &amp; Payne, 2011 (CHI)</t>
        </is>
      </c>
      <c r="E45" s="2" t="inlineStr">
        <is>
          <t>V6</t>
        </is>
      </c>
      <c r="F45" s="3" t="inlineStr">
        <is>
          <t>—</t>
        </is>
      </c>
      <c r="G45" s="3" t="inlineStr">
        <is>
          <t>—</t>
        </is>
      </c>
      <c r="H45" s="6" t="inlineStr">
        <is>
          <t>L</t>
        </is>
      </c>
      <c r="I45" s="3" t="inlineStr">
        <is>
          <t>—</t>
        </is>
      </c>
      <c r="J45" s="3" t="inlineStr">
        <is>
          <t>—</t>
        </is>
      </c>
      <c r="K45" s="6" t="inlineStr">
        <is>
          <t>L</t>
        </is>
      </c>
      <c r="L45" s="3" t="inlineStr">
        <is>
          <t>—</t>
        </is>
      </c>
      <c r="M45" s="3" t="inlineStr">
        <is>
          <t>—</t>
        </is>
      </c>
      <c r="N45" s="3" t="inlineStr">
        <is>
          <t>—</t>
        </is>
      </c>
      <c r="O45" s="3" t="inlineStr">
        <is>
          <t>—</t>
        </is>
      </c>
      <c r="P45" s="3" t="inlineStr">
        <is>
          <t>—</t>
        </is>
      </c>
      <c r="Q45" s="3" t="inlineStr">
        <is>
          <t>—</t>
        </is>
      </c>
      <c r="R45" s="2" t="inlineStr">
        <is>
          <t>Attentional guidance (central: readers direct attention to important info); WM load management/satisficing (reading until information gain drops below threshold)</t>
        </is>
      </c>
      <c r="S45" s="2" t="inlineStr">
        <is>
          <t>Reading goal/time pressure (skim vs full read)</t>
        </is>
      </c>
      <c r="T45" s="2" t="inlineStr">
        <is>
          <t>n/a</t>
        </is>
      </c>
      <c r="U45" s="2" t="inlineStr">
        <is>
          <t>Eye-tracking reanalysis shows skim readers explicitly direct attention to the most important text segments, improving memory for gist, consistent with a satisficing strategy.</t>
        </is>
      </c>
      <c r="V45" s="2" t="inlineStr">
        <is>
          <t>Doesn't manipulate any text-design features (headings, layout) that could support or hinder satisficing-based skimming.</t>
        </is>
      </c>
    </row>
    <row r="46" ht="60" customHeight="1">
      <c r="A46" s="2" t="inlineStr">
        <is>
          <t>Skimming</t>
        </is>
      </c>
      <c r="B46" s="2" t="inlineStr">
        <is>
          <t>Duggan_Payne_JEPA_2009.pdf, Text_Skimming_The_Process_and_Effectiveness_of_For (1).pdf, Text_Skimming_The_Process_and_Effectiveness_of_For.pdf</t>
        </is>
      </c>
      <c r="C46" s="2" t="inlineStr">
        <is>
          <t>Text Skimming: The Process and Effectiveness of Foraging Through Text under Time Pressure</t>
        </is>
      </c>
      <c r="D46" s="2" t="inlineStr">
        <is>
          <t>Duggan &amp; Payne, 2009 (JEPA)</t>
        </is>
      </c>
      <c r="E46" s="2" t="inlineStr">
        <is>
          <t>V6, V5</t>
        </is>
      </c>
      <c r="F46" s="3" t="inlineStr">
        <is>
          <t>—</t>
        </is>
      </c>
      <c r="G46" s="3" t="inlineStr">
        <is>
          <t>—</t>
        </is>
      </c>
      <c r="H46" s="6" t="inlineStr">
        <is>
          <t>L</t>
        </is>
      </c>
      <c r="I46" s="3" t="inlineStr">
        <is>
          <t>—</t>
        </is>
      </c>
      <c r="J46" s="6" t="inlineStr">
        <is>
          <t>L</t>
        </is>
      </c>
      <c r="K46" s="5" t="inlineStr">
        <is>
          <t>H</t>
        </is>
      </c>
      <c r="L46" s="3" t="inlineStr">
        <is>
          <t>—</t>
        </is>
      </c>
      <c r="M46" s="3" t="inlineStr">
        <is>
          <t>—</t>
        </is>
      </c>
      <c r="N46" s="3" t="inlineStr">
        <is>
          <t>—</t>
        </is>
      </c>
      <c r="O46" s="3" t="inlineStr">
        <is>
          <t>—</t>
        </is>
      </c>
      <c r="P46" s="3" t="inlineStr">
        <is>
          <t>—</t>
        </is>
      </c>
      <c r="Q46" s="3" t="inlineStr">
        <is>
          <t>—</t>
        </is>
      </c>
      <c r="R46" s="2" t="inlineStr">
        <is>
          <t>Attentional guidance; WM load management (satisficing account); macrostructure construction (memory for important ideas over details)</t>
        </is>
      </c>
      <c r="S46" s="2" t="inlineStr">
        <is>
          <t>Reading goal/time pressure; document navigability</t>
        </is>
      </c>
      <c r="T46" s="2" t="inlineStr">
        <is>
          <t>n/a</t>
        </is>
      </c>
      <c r="U46" s="2" t="inlineStr">
        <is>
          <t>Skimming under time pressure improves memory for important ideas (not details) only when readers can navigate a hierarchical, linked document structure; skimmers favor text earlier in paragraphs/pages.</t>
        </is>
      </c>
      <c r="V46" s="2" t="inlineStr">
        <is>
          <t>Doesn't test whether heading/typographic cues (V5/L5) could substitute for or enhance the navigational benefit of linked-page structure.</t>
        </is>
      </c>
    </row>
    <row r="47" ht="60" customHeight="1">
      <c r="A47" s="2" t="inlineStr">
        <is>
          <t>Skimming</t>
        </is>
      </c>
      <c r="B47" s="2" t="inlineStr">
        <is>
          <t>EffectsOfFontDisfluency.pdf</t>
        </is>
      </c>
      <c r="C47" s="2" t="inlineStr">
        <is>
          <t>The Effects of Font Disfluency on Information Retention and Reading Speed of High School Students in Online Learning</t>
        </is>
      </c>
      <c r="D47" s="2" t="inlineStr">
        <is>
          <t>Unspecified student research paper, n.d.</t>
        </is>
      </c>
      <c r="E47" s="2" t="inlineStr">
        <is>
          <t>V2</t>
        </is>
      </c>
      <c r="F47" s="3" t="inlineStr">
        <is>
          <t>—</t>
        </is>
      </c>
      <c r="G47" s="5" t="inlineStr">
        <is>
          <t>H</t>
        </is>
      </c>
      <c r="H47" s="3" t="inlineStr">
        <is>
          <t>—</t>
        </is>
      </c>
      <c r="I47" s="3" t="inlineStr">
        <is>
          <t>—</t>
        </is>
      </c>
      <c r="J47" s="3" t="inlineStr">
        <is>
          <t>—</t>
        </is>
      </c>
      <c r="K47" s="3" t="inlineStr">
        <is>
          <t>—</t>
        </is>
      </c>
      <c r="L47" s="3" t="inlineStr">
        <is>
          <t>—</t>
        </is>
      </c>
      <c r="M47" s="3" t="inlineStr">
        <is>
          <t>—</t>
        </is>
      </c>
      <c r="N47" s="3" t="inlineStr">
        <is>
          <t>—</t>
        </is>
      </c>
      <c r="O47" s="3" t="inlineStr">
        <is>
          <t>—</t>
        </is>
      </c>
      <c r="P47" s="3" t="inlineStr">
        <is>
          <t>—</t>
        </is>
      </c>
      <c r="Q47" s="3" t="inlineStr">
        <is>
          <t>—</t>
        </is>
      </c>
      <c r="R47" s="2" t="inlineStr">
        <is>
          <t>Lexical access facilitation / disfluency-induced 'desirable difficulty' (mixed evidence)</t>
        </is>
      </c>
      <c r="S47" s="2" t="inlineStr">
        <is>
          <t>None beyond general high-school population; medium = online learning</t>
        </is>
      </c>
      <c r="T47" s="2" t="inlineStr">
        <is>
          <t>n/a</t>
        </is>
      </c>
      <c r="U47" s="2" t="inlineStr">
        <is>
          <t>The moderately disfluent font (Corsiva) produced slightly better retention than both the fluent font and the highly disfluent font; reading time increased monotonically with disfluency.</t>
        </is>
      </c>
      <c r="V47" s="2" t="inlineStr">
        <is>
          <t>Small/informal study with no controls for reader ability or text difficulty; doesn't relate findings to structural or layout dimensions.</t>
        </is>
      </c>
    </row>
    <row r="48" ht="60" customHeight="1">
      <c r="A48" s="2" t="inlineStr">
        <is>
          <t>Skimming</t>
        </is>
      </c>
      <c r="B48" s="2" t="inlineStr">
        <is>
          <t>Effects_of_Reading_Goal_and_Reading_Task_on_Eye_Fixation_Patterns.pdf</t>
        </is>
      </c>
      <c r="C48" s="2" t="inlineStr">
        <is>
          <t>Effects of Reading Goal and Reading Task on Eye Fixation Patterns</t>
        </is>
      </c>
      <c r="D48" s="2" t="inlineStr">
        <is>
          <t>Uncertain (corrupted font encoding; likely Kaakinen/Hyönä-line research), ~2015</t>
        </is>
      </c>
      <c r="E48" s="2" t="inlineStr">
        <is>
          <t>none directly (moderator-focused review)</t>
        </is>
      </c>
      <c r="F48" s="3" t="inlineStr">
        <is>
          <t>—</t>
        </is>
      </c>
      <c r="G48" s="3" t="inlineStr">
        <is>
          <t>—</t>
        </is>
      </c>
      <c r="H48" s="3" t="inlineStr">
        <is>
          <t>—</t>
        </is>
      </c>
      <c r="I48" s="3" t="inlineStr">
        <is>
          <t>—</t>
        </is>
      </c>
      <c r="J48" s="3" t="inlineStr">
        <is>
          <t>—</t>
        </is>
      </c>
      <c r="K48" s="3" t="inlineStr">
        <is>
          <t>—</t>
        </is>
      </c>
      <c r="L48" s="3" t="inlineStr">
        <is>
          <t>—</t>
        </is>
      </c>
      <c r="M48" s="3" t="inlineStr">
        <is>
          <t>—</t>
        </is>
      </c>
      <c r="N48" s="3" t="inlineStr">
        <is>
          <t>—</t>
        </is>
      </c>
      <c r="O48" s="3" t="inlineStr">
        <is>
          <t>—</t>
        </is>
      </c>
      <c r="P48" s="3" t="inlineStr">
        <is>
          <t>—</t>
        </is>
      </c>
      <c r="Q48" s="3" t="inlineStr">
        <is>
          <t>—</t>
        </is>
      </c>
      <c r="R48" s="2" t="inlineStr">
        <is>
          <t>Attentional guidance (global adjustment of eye behavior to task/goal); WM load management (early word-encoding vs later sentence-integration stages both affected)</t>
        </is>
      </c>
      <c r="S48" s="2" t="inlineStr">
        <is>
          <t>Reading goal/perspective x reading task (proofreading vs comprehension) — central focus of both reviewed studies</t>
        </is>
      </c>
      <c r="T48" s="2" t="inlineStr">
        <is>
          <t>n/a</t>
        </is>
      </c>
      <c r="U48" s="2" t="inlineStr">
        <is>
          <t>Two eye-tracking studies show readers make a global, early adjustment of eye-movement behavior based on reading goal or task, affecting both word encoding and later sentence-integration.</t>
        </is>
      </c>
      <c r="V48" s="2" t="inlineStr">
        <is>
          <t>Does not connect reading-goal effects to any text-design manipulation (V or L) that could be adapted to support particular reading goals.</t>
        </is>
      </c>
    </row>
    <row r="49" ht="60" customHeight="1">
      <c r="A49" s="2" t="inlineStr">
        <is>
          <t>Skimming</t>
        </is>
      </c>
      <c r="B49" s="2" t="inlineStr">
        <is>
          <t>FunctionalHeadings_Final.pdf</t>
        </is>
      </c>
      <c r="C49" s="2" t="inlineStr">
        <is>
          <t>Functional Headings' Effects on Selective Attention and Reading Processes</t>
        </is>
      </c>
      <c r="D49" s="2" t="inlineStr">
        <is>
          <t>Unspecified (extends Lemarié/Lorch SARA theory), n.d.</t>
        </is>
      </c>
      <c r="E49" s="2" t="inlineStr">
        <is>
          <t>V3, V5, L3, L5</t>
        </is>
      </c>
      <c r="F49" s="3" t="inlineStr">
        <is>
          <t>—</t>
        </is>
      </c>
      <c r="G49" s="6" t="inlineStr">
        <is>
          <t>L</t>
        </is>
      </c>
      <c r="H49" s="4" t="inlineStr">
        <is>
          <t>M</t>
        </is>
      </c>
      <c r="I49" s="3" t="inlineStr">
        <is>
          <t>—</t>
        </is>
      </c>
      <c r="J49" s="5" t="inlineStr">
        <is>
          <t>H</t>
        </is>
      </c>
      <c r="K49" s="3" t="inlineStr">
        <is>
          <t>—</t>
        </is>
      </c>
      <c r="L49" s="3" t="inlineStr">
        <is>
          <t>—</t>
        </is>
      </c>
      <c r="M49" s="3" t="inlineStr">
        <is>
          <t>—</t>
        </is>
      </c>
      <c r="N49" s="6" t="inlineStr">
        <is>
          <t>L</t>
        </is>
      </c>
      <c r="O49" s="3" t="inlineStr">
        <is>
          <t>—</t>
        </is>
      </c>
      <c r="P49" s="5" t="inlineStr">
        <is>
          <t>H</t>
        </is>
      </c>
      <c r="Q49" s="3" t="inlineStr">
        <is>
          <t>—</t>
        </is>
      </c>
      <c r="R49" s="2" t="inlineStr">
        <is>
          <t>Attentional guidance (headings signal relevance); macrostructure construction (headings aid organizational representation)</t>
        </is>
      </c>
      <c r="S49" s="2" t="inlineStr">
        <is>
          <t>None prominent beyond general readers; text type = expository</t>
        </is>
      </c>
      <c r="T49" s="2" t="inlineStr">
        <is>
          <t>Text-side (adding functional heading signals); fixed/uniform, not personalized</t>
        </is>
      </c>
      <c r="U49" s="2" t="inlineStr">
        <is>
          <t>Extends SARA signaling theory to test 'function identification' headings (revealing section purpose without content), showing selective-attention effects vary by heading type.</t>
        </is>
      </c>
      <c r="V49" s="2" t="inlineStr">
        <is>
          <t>Doesn't examine how heading effects interact with reading goal (skim vs deep) or reader prior knowledge.</t>
        </is>
      </c>
    </row>
    <row r="50" ht="60" customHeight="1">
      <c r="A50" s="2" t="inlineStr">
        <is>
          <t>Skimming</t>
        </is>
      </c>
      <c r="B50" s="2" t="inlineStr">
        <is>
          <t>HSv19-p91-96.pdf</t>
        </is>
      </c>
      <c r="C50" s="2" t="inlineStr">
        <is>
          <t>Sans Forgetica: Font Readability Experimental Design</t>
        </is>
      </c>
      <c r="D50" s="2" t="inlineStr">
        <is>
          <t>Robert Dykes, 2020</t>
        </is>
      </c>
      <c r="E50" s="2" t="inlineStr">
        <is>
          <t>V2</t>
        </is>
      </c>
      <c r="F50" s="3" t="inlineStr">
        <is>
          <t>—</t>
        </is>
      </c>
      <c r="G50" s="5" t="inlineStr">
        <is>
          <t>H</t>
        </is>
      </c>
      <c r="H50" s="3" t="inlineStr">
        <is>
          <t>—</t>
        </is>
      </c>
      <c r="I50" s="3" t="inlineStr">
        <is>
          <t>—</t>
        </is>
      </c>
      <c r="J50" s="3" t="inlineStr">
        <is>
          <t>—</t>
        </is>
      </c>
      <c r="K50" s="3" t="inlineStr">
        <is>
          <t>—</t>
        </is>
      </c>
      <c r="L50" s="3" t="inlineStr">
        <is>
          <t>—</t>
        </is>
      </c>
      <c r="M50" s="3" t="inlineStr">
        <is>
          <t>—</t>
        </is>
      </c>
      <c r="N50" s="3" t="inlineStr">
        <is>
          <t>—</t>
        </is>
      </c>
      <c r="O50" s="3" t="inlineStr">
        <is>
          <t>—</t>
        </is>
      </c>
      <c r="P50" s="3" t="inlineStr">
        <is>
          <t>—</t>
        </is>
      </c>
      <c r="Q50" s="3" t="inlineStr">
        <is>
          <t>—</t>
        </is>
      </c>
      <c r="R50" s="2" t="inlineStr">
        <is>
          <t>Lexical access facilitation (disfluency's effect on decoding); desirable-difficulty framework</t>
        </is>
      </c>
      <c r="S50" s="2" t="inlineStr">
        <is>
          <t>None newly proposed beyond general readers (research-design/proposal paper)</t>
        </is>
      </c>
      <c r="T50" s="2" t="inlineStr">
        <is>
          <t>n/a</t>
        </is>
      </c>
      <c r="U50" s="2" t="inlineStr">
        <is>
          <t>Proposes an eye-tracking + quantitative readability study to resolve conflicting evidence on whether Sans Forgetica is genuinely more disfluent than claimed.</t>
        </is>
      </c>
      <c r="V50" s="2" t="inlineStr">
        <is>
          <t>Design-proposal paper (no full results yet); doesn't consider reader-profile moderators (e.g., dyslexia) that could interact with disfluency.</t>
        </is>
      </c>
    </row>
    <row r="51" ht="60" customHeight="1">
      <c r="A51" s="2" t="inlineStr">
        <is>
          <t>Skimming</t>
        </is>
      </c>
      <c r="B51" s="2" t="inlineStr">
        <is>
          <t>Individual_differences_in_reading_to_summarize_exp (1).pdf, Individual_differences_in_reading_to_summarize_exp.pdf</t>
        </is>
      </c>
      <c r="C51" s="2" t="inlineStr">
        <is>
          <t>Individual Differences in Reading to Summarize Expository Text: Evidence From Eye Fixation Patterns</t>
        </is>
      </c>
      <c r="D51" s="2" t="inlineStr">
        <is>
          <t>Hyönä, Lorch &amp; Kaakinen, 2002 (J. Educational Psychology)</t>
        </is>
      </c>
      <c r="E51" s="2" t="inlineStr">
        <is>
          <t>L4, L5</t>
        </is>
      </c>
      <c r="F51" s="3" t="inlineStr">
        <is>
          <t>—</t>
        </is>
      </c>
      <c r="G51" s="3" t="inlineStr">
        <is>
          <t>—</t>
        </is>
      </c>
      <c r="H51" s="3" t="inlineStr">
        <is>
          <t>—</t>
        </is>
      </c>
      <c r="I51" s="3" t="inlineStr">
        <is>
          <t>—</t>
        </is>
      </c>
      <c r="J51" s="3" t="inlineStr">
        <is>
          <t>—</t>
        </is>
      </c>
      <c r="K51" s="3" t="inlineStr">
        <is>
          <t>—</t>
        </is>
      </c>
      <c r="L51" s="3" t="inlineStr">
        <is>
          <t>—</t>
        </is>
      </c>
      <c r="M51" s="3" t="inlineStr">
        <is>
          <t>—</t>
        </is>
      </c>
      <c r="N51" s="6" t="inlineStr">
        <is>
          <t>L</t>
        </is>
      </c>
      <c r="O51" s="4" t="inlineStr">
        <is>
          <t>M</t>
        </is>
      </c>
      <c r="P51" s="4" t="inlineStr">
        <is>
          <t>M</t>
        </is>
      </c>
      <c r="Q51" s="3" t="inlineStr">
        <is>
          <t>—</t>
        </is>
      </c>
      <c r="R51" s="2" t="inlineStr">
        <is>
          <t>Macrostructure construction (central: differences in building text-level representation for summarization); WM load management (WM capacity differentiates strategy groups)</t>
        </is>
      </c>
      <c r="S51" s="2" t="inlineStr">
        <is>
          <t>Reader profile — individual differences in WM capacity and reading strategy (4 clusters); reading goal = summarization</t>
        </is>
      </c>
      <c r="T51" s="2" t="inlineStr">
        <is>
          <t>n/a (individual-differences study); findings motivate reader-side profiling</t>
        </is>
      </c>
      <c r="U51" s="2" t="inlineStr">
        <is>
          <t>Eye-fixation clustering reveals four qualitatively distinct reading strategies among adult readers summarizing expository text; readers who attend closely to headings have the largest WM capacity and write the most accurate summaries.</t>
        </is>
      </c>
      <c r="V51" s="2" t="inlineStr">
        <is>
          <t>Doesn't experimentally manipulate heading presence/absence to confirm a causal role; purely correlational/individual-differences design.</t>
        </is>
      </c>
    </row>
    <row r="52" ht="60" customHeight="1">
      <c r="A52" s="2" t="inlineStr">
        <is>
          <t>Skimming</t>
        </is>
      </c>
      <c r="B52" s="2" t="inlineStr">
        <is>
          <t>Ole_Lund_Knowledge_construction_in_typography.pdf</t>
        </is>
      </c>
      <c r="C52" s="2" t="inlineStr">
        <is>
          <t>Knowledge construction in typography: the case of legibility research and the legibility of sans serif typefaces</t>
        </is>
      </c>
      <c r="D52" s="2" t="inlineStr">
        <is>
          <t>Ole Lund, 1999 (PhD thesis, Univ. of Reading)</t>
        </is>
      </c>
      <c r="E52" s="2" t="inlineStr">
        <is>
          <t>V2</t>
        </is>
      </c>
      <c r="F52" s="6" t="inlineStr">
        <is>
          <t>L</t>
        </is>
      </c>
      <c r="G52" s="5" t="inlineStr">
        <is>
          <t>H</t>
        </is>
      </c>
      <c r="H52" s="3" t="inlineStr">
        <is>
          <t>—</t>
        </is>
      </c>
      <c r="I52" s="3" t="inlineStr">
        <is>
          <t>—</t>
        </is>
      </c>
      <c r="J52" s="3" t="inlineStr">
        <is>
          <t>—</t>
        </is>
      </c>
      <c r="K52" s="3" t="inlineStr">
        <is>
          <t>—</t>
        </is>
      </c>
      <c r="L52" s="3" t="inlineStr">
        <is>
          <t>—</t>
        </is>
      </c>
      <c r="M52" s="3" t="inlineStr">
        <is>
          <t>—</t>
        </is>
      </c>
      <c r="N52" s="3" t="inlineStr">
        <is>
          <t>—</t>
        </is>
      </c>
      <c r="O52" s="3" t="inlineStr">
        <is>
          <t>—</t>
        </is>
      </c>
      <c r="P52" s="3" t="inlineStr">
        <is>
          <t>—</t>
        </is>
      </c>
      <c r="Q52" s="3" t="inlineStr">
        <is>
          <t>—</t>
        </is>
      </c>
      <c r="R52" s="2" t="inlineStr">
        <is>
          <t>None explicit (meta-level critique, not mechanism-testing)</t>
        </is>
      </c>
      <c r="S52" s="2" t="inlineStr">
        <is>
          <t>None directly (reviews studies with mixed reader populations)</t>
        </is>
      </c>
      <c r="T52" s="2" t="inlineStr">
        <is>
          <t>n/a</t>
        </is>
      </c>
      <c r="U52" s="2" t="inlineStr">
        <is>
          <t>A critical review finds nearly all 28 reviewed typeface legibility studies (of 72 identified) lack internal validity, undermining widely-cited claims about serif/sans-serif legibility differences.</t>
        </is>
      </c>
      <c r="V52" s="2" t="inlineStr">
        <is>
          <t>As methodological critique, provides no new empirical data on any V/L dimension; narrowly focused on typeface (V2) alone.</t>
        </is>
      </c>
    </row>
    <row r="53" ht="60" customHeight="1">
      <c r="A53" s="2" t="inlineStr">
        <is>
          <t>Skimming</t>
        </is>
      </c>
      <c r="B53" s="2" t="inlineStr">
        <is>
          <t>Proc_of_Assoc_for_Info_2012_Marcial_Scrolling_and_pagination_for.pdf</t>
        </is>
      </c>
      <c r="C53" s="2" t="inlineStr">
        <is>
          <t>Scrolling and pagination for within document searching: The impact of screen size and interaction style</t>
        </is>
      </c>
      <c r="D53" s="2" t="inlineStr">
        <is>
          <t>Marcial &amp; Hemminger, 2012 (ASIST)</t>
        </is>
      </c>
      <c r="E53" s="2" t="inlineStr">
        <is>
          <t>V4, V6</t>
        </is>
      </c>
      <c r="F53" s="3" t="inlineStr">
        <is>
          <t>—</t>
        </is>
      </c>
      <c r="G53" s="3" t="inlineStr">
        <is>
          <t>—</t>
        </is>
      </c>
      <c r="H53" s="3" t="inlineStr">
        <is>
          <t>—</t>
        </is>
      </c>
      <c r="I53" s="4" t="inlineStr">
        <is>
          <t>M</t>
        </is>
      </c>
      <c r="J53" s="3" t="inlineStr">
        <is>
          <t>—</t>
        </is>
      </c>
      <c r="K53" s="5" t="inlineStr">
        <is>
          <t>H</t>
        </is>
      </c>
      <c r="L53" s="3" t="inlineStr">
        <is>
          <t>—</t>
        </is>
      </c>
      <c r="M53" s="3" t="inlineStr">
        <is>
          <t>—</t>
        </is>
      </c>
      <c r="N53" s="3" t="inlineStr">
        <is>
          <t>—</t>
        </is>
      </c>
      <c r="O53" s="3" t="inlineStr">
        <is>
          <t>—</t>
        </is>
      </c>
      <c r="P53" s="3" t="inlineStr">
        <is>
          <t>—</t>
        </is>
      </c>
      <c r="Q53" s="3" t="inlineStr">
        <is>
          <t>—</t>
        </is>
      </c>
      <c r="R53" s="2" t="inlineStr">
        <is>
          <t>WM load management (navigation style affects tracking position in document); attentional guidance (scanning/skimming/raiding components measured)</t>
        </is>
      </c>
      <c r="S53" s="2" t="inlineStr">
        <is>
          <t>Medium (screen size: desktop/tablet/smartphone) x interaction style (mouse/keyboard vs touchscreen) x technique (scroll vs paginate); reading goal = search</t>
        </is>
      </c>
      <c r="T53" s="2" t="inlineStr">
        <is>
          <t>n/a (comparative usability study); implies system-side design choice per device</t>
        </is>
      </c>
      <c r="U53" s="2" t="inlineStr">
        <is>
          <t>Task execution time for within-document search varies with the combination of screen size and interaction style; scrolling and pagination trade off differently across desktop, tablet, and smartphone.</t>
        </is>
      </c>
      <c r="V53" s="2" t="inlineStr">
        <is>
          <t>Doesn't examine text-content factors (V1/V2/L-layer) that might interact with navigation style to affect search speed.</t>
        </is>
      </c>
    </row>
    <row r="54" ht="60" customHeight="1">
      <c r="A54" s="2" t="inlineStr">
        <is>
          <t>Skimming</t>
        </is>
      </c>
      <c r="B54" s="2" t="inlineStr">
        <is>
          <t>Reading_Speed_and_Comprehension_Enhancement_in_Hyb.pdf, reading-speed-and-comprehension-enhancement-in-hybrid-4o1o0tvafu.pdf</t>
        </is>
      </c>
      <c r="C54" s="2" t="inlineStr">
        <is>
          <t>Reading Speed and Comprehension Enhancement in Hybrid Learning Delivery Mode</t>
        </is>
      </c>
      <c r="D54" s="2" t="inlineStr">
        <is>
          <t>Muhaimin Abdullah, 2018 (Advances in Language and Literary Studies)</t>
        </is>
      </c>
      <c r="E54" s="2" t="inlineStr">
        <is>
          <t>V4, L4</t>
        </is>
      </c>
      <c r="F54" s="3" t="inlineStr">
        <is>
          <t>—</t>
        </is>
      </c>
      <c r="G54" s="3" t="inlineStr">
        <is>
          <t>—</t>
        </is>
      </c>
      <c r="H54" s="3" t="inlineStr">
        <is>
          <t>—</t>
        </is>
      </c>
      <c r="I54" s="4" t="inlineStr">
        <is>
          <t>M</t>
        </is>
      </c>
      <c r="J54" s="3" t="inlineStr">
        <is>
          <t>—</t>
        </is>
      </c>
      <c r="K54" s="3" t="inlineStr">
        <is>
          <t>—</t>
        </is>
      </c>
      <c r="L54" s="3" t="inlineStr">
        <is>
          <t>—</t>
        </is>
      </c>
      <c r="M54" s="3" t="inlineStr">
        <is>
          <t>—</t>
        </is>
      </c>
      <c r="N54" s="3" t="inlineStr">
        <is>
          <t>—</t>
        </is>
      </c>
      <c r="O54" s="6" t="inlineStr">
        <is>
          <t>L</t>
        </is>
      </c>
      <c r="P54" s="3" t="inlineStr">
        <is>
          <t>—</t>
        </is>
      </c>
      <c r="Q54" s="3" t="inlineStr">
        <is>
          <t>—</t>
        </is>
      </c>
      <c r="R54" s="2" t="inlineStr">
        <is>
          <t>None rigorously tested (quasi-experimental, small n, high variance per authors)</t>
        </is>
      </c>
      <c r="S54" s="2" t="inlineStr">
        <is>
          <t>Medium (web-based portal vs paper/face-to-face)</t>
        </is>
      </c>
      <c r="T54" s="2" t="inlineStr">
        <is>
          <t>Reader-side (teaching rate-buildup/skimming/scanning strategies) combined with text-side/medium choice</t>
        </is>
      </c>
      <c r="U54" s="2" t="inlineStr">
        <is>
          <t>Both web-based hybrid learning and traditional face-to-face instruction using rate-buildup, skimming, and scanning strategies improved reading speed and comprehension, with no clear medium superiority.</t>
        </is>
      </c>
      <c r="V54" s="2" t="inlineStr">
        <is>
          <t>Small sample (n=15/15) with high variance (acknowledged by authors); doesn't isolate which strategy or medium feature drove gains.</t>
        </is>
      </c>
    </row>
    <row r="55" ht="60" customHeight="1">
      <c r="A55" s="2" t="inlineStr">
        <is>
          <t>Skimming</t>
        </is>
      </c>
      <c r="B55" s="2" t="inlineStr">
        <is>
          <t>The_effects_of_reading_speed_and_reading_patterns_.pdf</t>
        </is>
      </c>
      <c r="C55" s="2" t="inlineStr">
        <is>
          <t>The effects of reading speed and reading patterns on the understanding of text read from screen</t>
        </is>
      </c>
      <c r="D55" s="2" t="inlineStr">
        <is>
          <t>Dyson &amp; Haselgrove, 2000 (J. Research in Reading)</t>
        </is>
      </c>
      <c r="E55" s="2" t="inlineStr">
        <is>
          <t>V4, V6</t>
        </is>
      </c>
      <c r="F55" s="3" t="inlineStr">
        <is>
          <t>—</t>
        </is>
      </c>
      <c r="G55" s="3" t="inlineStr">
        <is>
          <t>—</t>
        </is>
      </c>
      <c r="H55" s="3" t="inlineStr">
        <is>
          <t>—</t>
        </is>
      </c>
      <c r="I55" s="4" t="inlineStr">
        <is>
          <t>M</t>
        </is>
      </c>
      <c r="J55" s="6" t="inlineStr">
        <is>
          <t>L</t>
        </is>
      </c>
      <c r="K55" s="5" t="inlineStr">
        <is>
          <t>H</t>
        </is>
      </c>
      <c r="L55" s="3" t="inlineStr">
        <is>
          <t>—</t>
        </is>
      </c>
      <c r="M55" s="3" t="inlineStr">
        <is>
          <t>—</t>
        </is>
      </c>
      <c r="N55" s="3" t="inlineStr">
        <is>
          <t>—</t>
        </is>
      </c>
      <c r="O55" s="3" t="inlineStr">
        <is>
          <t>—</t>
        </is>
      </c>
      <c r="P55" s="3" t="inlineStr">
        <is>
          <t>—</t>
        </is>
      </c>
      <c r="Q55" s="3" t="inlineStr">
        <is>
          <t>—</t>
        </is>
      </c>
      <c r="R55" s="2" t="inlineStr">
        <is>
          <t>WM load management (scroll-pause time as predictor of comprehension, suggesting integration processing during pauses)</t>
        </is>
      </c>
      <c r="S55" s="2" t="inlineStr">
        <is>
          <t>Reading goal/speed (normal vs fast) x scrolling behavior; medium = screen</t>
        </is>
      </c>
      <c r="T55" s="2" t="inlineStr">
        <is>
          <t>n/a</t>
        </is>
      </c>
      <c r="U55" s="2" t="inlineStr">
        <is>
          <t>Overall time spent pausing between scroll movements was the best predictor of comprehension; effective readers at normal speed paused longer between fast, frequent scrolling movements.</t>
        </is>
      </c>
      <c r="V55" s="2" t="inlineStr">
        <is>
          <t>Doesn't compare scrolling to pagination (V6 contrast) or examine typographic/layout factors shaping scrolling behavior.</t>
        </is>
      </c>
    </row>
    <row r="56" ht="60" customHeight="1">
      <c r="A56" s="2" t="inlineStr">
        <is>
          <t>Skimming</t>
        </is>
      </c>
      <c r="B56" s="2" t="inlineStr">
        <is>
          <t>Understanding_How_Headings_Influence_Text_Processi.pdf, discours-8600 (1).pdf, discours-8600.pdf</t>
        </is>
      </c>
      <c r="C56" s="2" t="inlineStr">
        <is>
          <t>Understanding How Headings Influence Text Processing</t>
        </is>
      </c>
      <c r="D56" s="2" t="inlineStr">
        <is>
          <t>Lemarié, Lorch &amp; Péry-Woodley, 2012 (Discours)</t>
        </is>
      </c>
      <c r="E56" s="2" t="inlineStr">
        <is>
          <t>V3, V5, L3, L5</t>
        </is>
      </c>
      <c r="F56" s="3" t="inlineStr">
        <is>
          <t>—</t>
        </is>
      </c>
      <c r="G56" s="6" t="inlineStr">
        <is>
          <t>L</t>
        </is>
      </c>
      <c r="H56" s="4" t="inlineStr">
        <is>
          <t>M</t>
        </is>
      </c>
      <c r="I56" s="3" t="inlineStr">
        <is>
          <t>—</t>
        </is>
      </c>
      <c r="J56" s="5" t="inlineStr">
        <is>
          <t>H</t>
        </is>
      </c>
      <c r="K56" s="3" t="inlineStr">
        <is>
          <t>—</t>
        </is>
      </c>
      <c r="L56" s="3" t="inlineStr">
        <is>
          <t>—</t>
        </is>
      </c>
      <c r="M56" s="3" t="inlineStr">
        <is>
          <t>—</t>
        </is>
      </c>
      <c r="N56" s="6" t="inlineStr">
        <is>
          <t>L</t>
        </is>
      </c>
      <c r="O56" s="3" t="inlineStr">
        <is>
          <t>—</t>
        </is>
      </c>
      <c r="P56" s="5" t="inlineStr">
        <is>
          <t>H</t>
        </is>
      </c>
      <c r="Q56" s="3" t="inlineStr">
        <is>
          <t>—</t>
        </is>
      </c>
      <c r="R56" s="2" t="inlineStr">
        <is>
          <t>Attentional guidance (signals direct attention); macrostructure construction (headings improve memory for organization)</t>
        </is>
      </c>
      <c r="S56" s="2" t="inlineStr">
        <is>
          <t>None directly manipulated; theoretical/synthesis paper</t>
        </is>
      </c>
      <c r="T56" s="2" t="inlineStr">
        <is>
          <t>Text-side (design of headings/titles); fixed, general guidance, not individuated</t>
        </is>
      </c>
      <c r="U56" s="2" t="inlineStr">
        <is>
          <t>Proposes a linguistically-grounded theory of heading/title signaling devices (extending SARA), explaining how headings improve memory for organization, activate prior knowledge, and can bias comprehension toward a topic.</t>
        </is>
      </c>
      <c r="V56" s="2" t="inlineStr">
        <is>
          <t>Theoretical synthesis; doesn't report new empirical moderator data (reader skill, reading goal) to test the theory's boundary conditions.</t>
        </is>
      </c>
    </row>
    <row r="57" ht="60" customHeight="1">
      <c r="A57" s="2" t="inlineStr">
        <is>
          <t>Skimming</t>
        </is>
      </c>
      <c r="B57" s="2" t="inlineStr">
        <is>
          <t>adminjlh,+ejournal-reysa-082084027.pdf</t>
        </is>
      </c>
      <c r="C57" s="2" t="inlineStr">
        <is>
          <t>The Implementation of Skimming and Scanning Strategies in Teaching Reading Narrative Text to the Tenth Grade Students of SMAN 21 Surabaya</t>
        </is>
      </c>
      <c r="D57" s="2" t="inlineStr">
        <is>
          <t>Tamsi, Zuhri &amp; Kurniasih, n.d.</t>
        </is>
      </c>
      <c r="E57" s="2" t="inlineStr">
        <is>
          <t>L4, L6</t>
        </is>
      </c>
      <c r="F57" s="3" t="inlineStr">
        <is>
          <t>—</t>
        </is>
      </c>
      <c r="G57" s="3" t="inlineStr">
        <is>
          <t>—</t>
        </is>
      </c>
      <c r="H57" s="3" t="inlineStr">
        <is>
          <t>—</t>
        </is>
      </c>
      <c r="I57" s="3" t="inlineStr">
        <is>
          <t>—</t>
        </is>
      </c>
      <c r="J57" s="3" t="inlineStr">
        <is>
          <t>—</t>
        </is>
      </c>
      <c r="K57" s="3" t="inlineStr">
        <is>
          <t>—</t>
        </is>
      </c>
      <c r="L57" s="3" t="inlineStr">
        <is>
          <t>—</t>
        </is>
      </c>
      <c r="M57" s="3" t="inlineStr">
        <is>
          <t>—</t>
        </is>
      </c>
      <c r="N57" s="3" t="inlineStr">
        <is>
          <t>—</t>
        </is>
      </c>
      <c r="O57" s="6" t="inlineStr">
        <is>
          <t>L</t>
        </is>
      </c>
      <c r="P57" s="3" t="inlineStr">
        <is>
          <t>—</t>
        </is>
      </c>
      <c r="Q57" s="4" t="inlineStr">
        <is>
          <t>M</t>
        </is>
      </c>
      <c r="R57" s="2" t="inlineStr">
        <is>
          <t>None explicit/rigorously tested; qualitative classroom study</t>
        </is>
      </c>
      <c r="S57" s="2" t="inlineStr">
        <is>
          <t>Reading goal (skim vs scan) x reader population (tenth-grade EFL students) x classroom context</t>
        </is>
      </c>
      <c r="T57" s="2" t="inlineStr">
        <is>
          <t>Reader-side (explicitly teaching students skimming/scanning strategies)</t>
        </is>
      </c>
      <c r="U57" s="2" t="inlineStr">
        <is>
          <t>A qualitative classroom study found the teacher only partially implemented skimming/scanning strategy instruction effectively, though students responded positively.</t>
        </is>
      </c>
      <c r="V57" s="2" t="inlineStr">
        <is>
          <t>Qualitative/descriptive only; doesn't measure reading outcomes quantitatively or examine any text-design features.</t>
        </is>
      </c>
    </row>
    <row r="58" ht="60" customHeight="1">
      <c r="A58" s="2" t="inlineStr">
        <is>
          <t>Skimming</t>
        </is>
      </c>
      <c r="B58" s="2" t="inlineStr">
        <is>
          <t>eScholarship UC item 4wd1s7hj.pdf</t>
        </is>
      </c>
      <c r="C58" s="2" t="inlineStr">
        <is>
          <t>Fortune Favors the Bold (and the Italicized): Effects of Disfluency on Educational Outcomes</t>
        </is>
      </c>
      <c r="D58" s="2" t="inlineStr">
        <is>
          <t>Oppenheimer, Diemand-Yauman &amp; Vaughan, 2010 (Proc. Cognitive Science Society)</t>
        </is>
      </c>
      <c r="E58" s="2" t="inlineStr">
        <is>
          <t>V2</t>
        </is>
      </c>
      <c r="F58" s="3" t="inlineStr">
        <is>
          <t>—</t>
        </is>
      </c>
      <c r="G58" s="5" t="inlineStr">
        <is>
          <t>H</t>
        </is>
      </c>
      <c r="H58" s="3" t="inlineStr">
        <is>
          <t>—</t>
        </is>
      </c>
      <c r="I58" s="3" t="inlineStr">
        <is>
          <t>—</t>
        </is>
      </c>
      <c r="J58" s="3" t="inlineStr">
        <is>
          <t>—</t>
        </is>
      </c>
      <c r="K58" s="3" t="inlineStr">
        <is>
          <t>—</t>
        </is>
      </c>
      <c r="L58" s="3" t="inlineStr">
        <is>
          <t>—</t>
        </is>
      </c>
      <c r="M58" s="3" t="inlineStr">
        <is>
          <t>—</t>
        </is>
      </c>
      <c r="N58" s="3" t="inlineStr">
        <is>
          <t>—</t>
        </is>
      </c>
      <c r="O58" s="3" t="inlineStr">
        <is>
          <t>—</t>
        </is>
      </c>
      <c r="P58" s="3" t="inlineStr">
        <is>
          <t>—</t>
        </is>
      </c>
      <c r="Q58" s="3" t="inlineStr">
        <is>
          <t>—</t>
        </is>
      </c>
      <c r="R58" s="2" t="inlineStr">
        <is>
          <t>WM load management/deeper processing via 'desirable difficulty' (disfluency triggers deeper processing)</t>
        </is>
      </c>
      <c r="S58" s="2" t="inlineStr">
        <is>
          <t>Setting (lab vs real classroom) as generalization test; general student population</t>
        </is>
      </c>
      <c r="T58" s="2" t="inlineStr">
        <is>
          <t>Text-side (font choice); proposed as a fixed population-level intervention</t>
        </is>
      </c>
      <c r="U58" s="2" t="inlineStr">
        <is>
          <t>Harder-to-read fonts improved information retention both in controlled lab settings and real classroom environments.</t>
        </is>
      </c>
      <c r="V58" s="2" t="inlineStr">
        <is>
          <t>Doesn't examine reader-profile moderators (prior knowledge, reading skill, dyslexia) where disfluency might backfire.</t>
        </is>
      </c>
    </row>
    <row r="59" ht="60" customHeight="1">
      <c r="A59" s="2" t="inlineStr">
        <is>
          <t>Skimming</t>
        </is>
      </c>
      <c r="B59" s="2" t="inlineStr">
        <is>
          <t>effectief lezen van scherm.pdf</t>
        </is>
      </c>
      <c r="C59" s="2" t="inlineStr">
        <is>
          <t>The influence of reading speed and line length on the effectiveness of reading from screen</t>
        </is>
      </c>
      <c r="D59" s="2" t="inlineStr">
        <is>
          <t>Dyson &amp; Haselgrove, 2001 (Int. J. Human-Computer Studies)</t>
        </is>
      </c>
      <c r="E59" s="2" t="inlineStr">
        <is>
          <t>V1, V4, V6</t>
        </is>
      </c>
      <c r="F59" s="5" t="inlineStr">
        <is>
          <t>H</t>
        </is>
      </c>
      <c r="G59" s="3" t="inlineStr">
        <is>
          <t>—</t>
        </is>
      </c>
      <c r="H59" s="3" t="inlineStr">
        <is>
          <t>—</t>
        </is>
      </c>
      <c r="I59" s="4" t="inlineStr">
        <is>
          <t>M</t>
        </is>
      </c>
      <c r="J59" s="3" t="inlineStr">
        <is>
          <t>—</t>
        </is>
      </c>
      <c r="K59" s="4" t="inlineStr">
        <is>
          <t>M</t>
        </is>
      </c>
      <c r="L59" s="3" t="inlineStr">
        <is>
          <t>—</t>
        </is>
      </c>
      <c r="M59" s="3" t="inlineStr">
        <is>
          <t>—</t>
        </is>
      </c>
      <c r="N59" s="3" t="inlineStr">
        <is>
          <t>—</t>
        </is>
      </c>
      <c r="O59" s="3" t="inlineStr">
        <is>
          <t>—</t>
        </is>
      </c>
      <c r="P59" s="3" t="inlineStr">
        <is>
          <t>—</t>
        </is>
      </c>
      <c r="Q59" s="3" t="inlineStr">
        <is>
          <t>—</t>
        </is>
      </c>
      <c r="R59" s="2" t="inlineStr">
        <is>
          <t>Crowding relief/visual scanning efficiency (line length affects saccade planning); WM load management (scroll-pause time linked to comprehension)</t>
        </is>
      </c>
      <c r="S59" s="2" t="inlineStr">
        <is>
          <t>Reading goal/speed (normal/fast) x line length; medium = screen</t>
        </is>
      </c>
      <c r="T59" s="2" t="inlineStr">
        <is>
          <t>Text-side (fixed recommendation: ~55-character medium line length)</t>
        </is>
      </c>
      <c r="U59" s="2" t="inlineStr">
        <is>
          <t>A medium line length (55 characters/line) produced the highest comprehension and fastest reading at both normal and fast speeds on screen.</t>
        </is>
      </c>
      <c r="V59" s="2" t="inlineStr">
        <is>
          <t>Doesn't test other V1 sub-factors (leading, margins) or extend findings to paginated (non-scrolling) presentation.</t>
        </is>
      </c>
    </row>
    <row r="60" ht="60" customHeight="1">
      <c r="A60" s="2" t="inlineStr">
        <is>
          <t>Skimming</t>
        </is>
      </c>
      <c r="B60" s="2" t="inlineStr">
        <is>
          <t>introduction_to_multimedia_learning.pdf</t>
        </is>
      </c>
      <c r="C60" s="2" t="inlineStr">
        <is>
          <t>Introduction to Multimedia Learning (ch.1, Cambridge Handbook of Multimedia Learning, 3rd ed.)</t>
        </is>
      </c>
      <c r="D60" s="2" t="inlineStr">
        <is>
          <t>Richard E. Mayer &amp; Logan Fiorella, 2021/2022</t>
        </is>
      </c>
      <c r="E60" s="2" t="inlineStr">
        <is>
          <t>V3, V5</t>
        </is>
      </c>
      <c r="F60" s="3" t="inlineStr">
        <is>
          <t>—</t>
        </is>
      </c>
      <c r="G60" s="3" t="inlineStr">
        <is>
          <t>—</t>
        </is>
      </c>
      <c r="H60" s="4" t="inlineStr">
        <is>
          <t>M</t>
        </is>
      </c>
      <c r="I60" s="6" t="inlineStr">
        <is>
          <t>L</t>
        </is>
      </c>
      <c r="J60" s="4" t="inlineStr">
        <is>
          <t>M</t>
        </is>
      </c>
      <c r="K60" s="3" t="inlineStr">
        <is>
          <t>—</t>
        </is>
      </c>
      <c r="L60" s="3" t="inlineStr">
        <is>
          <t>—</t>
        </is>
      </c>
      <c r="M60" s="3" t="inlineStr">
        <is>
          <t>—</t>
        </is>
      </c>
      <c r="N60" s="3" t="inlineStr">
        <is>
          <t>—</t>
        </is>
      </c>
      <c r="O60" s="3" t="inlineStr">
        <is>
          <t>—</t>
        </is>
      </c>
      <c r="P60" s="3" t="inlineStr">
        <is>
          <t>—</t>
        </is>
      </c>
      <c r="Q60" s="3" t="inlineStr">
        <is>
          <t>—</t>
        </is>
      </c>
      <c r="R60" s="2" t="inlineStr">
        <is>
          <t>WM load management (cognitive load theory, central); macrostructure construction (integrative model of text/picture comprehension)</t>
        </is>
      </c>
      <c r="S60" s="2" t="inlineStr">
        <is>
          <t>Prior knowledge (expertise-reversal effect mentioned); redundancy effect as boundary condition — conceptual/pointer level only</t>
        </is>
      </c>
      <c r="T60" s="2" t="inlineStr">
        <is>
          <t>Theme-based (principles applied per learner expertise/content); text-side (multimedia instructional design)</t>
        </is>
      </c>
      <c r="U60" s="2" t="inlineStr">
        <is>
          <t>Introduces the multimedia learning hypothesis (deeper learning from words+pictures than words alone) and previews design principles grounded in dual coding, cognitive load, and integrative text-picture models.</t>
        </is>
      </c>
      <c r="V60" s="2" t="inlineStr">
        <is>
          <t>As an introductory chapter, provides no new empirical data itself; pure-text reading dimensions (L1-L6, V1/V2/V6) are outside its scope.</t>
        </is>
      </c>
    </row>
    <row r="61" ht="60" customHeight="1">
      <c r="A61" s="2" t="inlineStr">
        <is>
          <t>Skimming</t>
        </is>
      </c>
      <c r="B61" s="2" t="inlineStr">
        <is>
          <t>main.pdf</t>
        </is>
      </c>
      <c r="C61" s="2" t="inlineStr">
        <is>
          <t>The inattentive on-screen reading: Reading medium affects attention and reading comprehension under time pressure</t>
        </is>
      </c>
      <c r="D61" s="2" t="inlineStr">
        <is>
          <t>Delgado &amp; Salmerón, 2021 (Learning and Instruction)</t>
        </is>
      </c>
      <c r="E61" s="2" t="inlineStr">
        <is>
          <t>V4</t>
        </is>
      </c>
      <c r="F61" s="3" t="inlineStr">
        <is>
          <t>—</t>
        </is>
      </c>
      <c r="G61" s="3" t="inlineStr">
        <is>
          <t>—</t>
        </is>
      </c>
      <c r="H61" s="3" t="inlineStr">
        <is>
          <t>—</t>
        </is>
      </c>
      <c r="I61" s="4" t="inlineStr">
        <is>
          <t>M</t>
        </is>
      </c>
      <c r="J61" s="3" t="inlineStr">
        <is>
          <t>—</t>
        </is>
      </c>
      <c r="K61" s="3" t="inlineStr">
        <is>
          <t>—</t>
        </is>
      </c>
      <c r="L61" s="3" t="inlineStr">
        <is>
          <t>—</t>
        </is>
      </c>
      <c r="M61" s="3" t="inlineStr">
        <is>
          <t>—</t>
        </is>
      </c>
      <c r="N61" s="3" t="inlineStr">
        <is>
          <t>—</t>
        </is>
      </c>
      <c r="O61" s="3" t="inlineStr">
        <is>
          <t>—</t>
        </is>
      </c>
      <c r="P61" s="3" t="inlineStr">
        <is>
          <t>—</t>
        </is>
      </c>
      <c r="Q61" s="3" t="inlineStr">
        <is>
          <t>—</t>
        </is>
      </c>
      <c r="R61" s="2" t="inlineStr">
        <is>
          <t>Attentional guidance / WM load management (mind-wandering as the attentional-lapse mechanism explaining medium x time-pressure interaction)</t>
        </is>
      </c>
      <c r="S61" s="2" t="inlineStr">
        <is>
          <t>Medium (print vs screen) x reading time-frame (free vs pressured); metacognitive calibration and mind-wandering as outcome/mediator measures</t>
        </is>
      </c>
      <c r="T61" s="2" t="inlineStr">
        <is>
          <t>n/a</t>
        </is>
      </c>
      <c r="U61" s="2" t="inlineStr">
        <is>
          <t>Under time pressure, on-screen readers mind-wandered more and comprehended less than print readers; under free reading time there was no medium difference.</t>
        </is>
      </c>
      <c r="V61" s="2" t="inlineStr">
        <is>
          <t>Doesn't test whether text-design interventions (headings, chunking) could offset the on-screen attention deficit found under time pressure.</t>
        </is>
      </c>
    </row>
    <row r="62" ht="60" customHeight="1">
      <c r="A62" s="2" t="inlineStr">
        <is>
          <t>Skimming</t>
        </is>
      </c>
      <c r="B62" s="2" t="inlineStr">
        <is>
          <t>nihms152887.pdf</t>
        </is>
      </c>
      <c r="C62" s="2" t="inlineStr">
        <is>
          <t>A Synthesis of Reading Interventions and Effects on Reading Comprehension Outcomes for Older Struggling Readers</t>
        </is>
      </c>
      <c r="D62" s="2" t="inlineStr">
        <is>
          <t>Edmonds et al., 2009 (Review of Educational Research)</t>
        </is>
      </c>
      <c r="E62" s="2" t="inlineStr">
        <is>
          <t>L1, L3</t>
        </is>
      </c>
      <c r="F62" s="3" t="inlineStr">
        <is>
          <t>—</t>
        </is>
      </c>
      <c r="G62" s="3" t="inlineStr">
        <is>
          <t>—</t>
        </is>
      </c>
      <c r="H62" s="3" t="inlineStr">
        <is>
          <t>—</t>
        </is>
      </c>
      <c r="I62" s="3" t="inlineStr">
        <is>
          <t>—</t>
        </is>
      </c>
      <c r="J62" s="3" t="inlineStr">
        <is>
          <t>—</t>
        </is>
      </c>
      <c r="K62" s="3" t="inlineStr">
        <is>
          <t>—</t>
        </is>
      </c>
      <c r="L62" s="4" t="inlineStr">
        <is>
          <t>M</t>
        </is>
      </c>
      <c r="M62" s="6" t="inlineStr">
        <is>
          <t>L</t>
        </is>
      </c>
      <c r="N62" s="4" t="inlineStr">
        <is>
          <t>M</t>
        </is>
      </c>
      <c r="O62" s="3" t="inlineStr">
        <is>
          <t>—</t>
        </is>
      </c>
      <c r="P62" s="6" t="inlineStr">
        <is>
          <t>L</t>
        </is>
      </c>
      <c r="Q62" s="3" t="inlineStr">
        <is>
          <t>—</t>
        </is>
      </c>
      <c r="R62" s="2" t="inlineStr">
        <is>
          <t>Lexical access facilitation (vocabulary/word-level interventions); macrostructure construction (comprehension strategy instruction)</t>
        </is>
      </c>
      <c r="S62" s="2" t="inlineStr">
        <is>
          <t>Reader profile — older struggling readers (grades 6-12) with reading difficulties, as the central population of interest</t>
        </is>
      </c>
      <c r="T62" s="2" t="inlineStr">
        <is>
          <t>Reader-side (all reviewed interventions are instructional/strategy-training approaches)</t>
        </is>
      </c>
      <c r="U62" s="2" t="inlineStr">
        <is>
          <t>Meta-analysis of 13 intervention studies found a large overall effect (ES=0.89) for comprehension interventions for older struggling readers; word-level interventions showed a smaller effect (ES=0.34).</t>
        </is>
      </c>
      <c r="V62" s="2" t="inlineStr">
        <is>
          <t>Synthesizes reader-side instructional interventions exclusively; doesn't consider text-side adaptations (simplification, layout, headings) as an alternative approach.</t>
        </is>
      </c>
    </row>
    <row r="63" ht="60" customHeight="1">
      <c r="A63" s="2" t="inlineStr">
        <is>
          <t>Skimming</t>
        </is>
      </c>
      <c r="B63" s="2" t="inlineStr">
        <is>
          <t>p338-molich.pdf</t>
        </is>
      </c>
      <c r="C63" s="2" t="inlineStr">
        <is>
          <t>Improving a Human-Computer Dialogue</t>
        </is>
      </c>
      <c r="D63" s="2" t="inlineStr">
        <is>
          <t>Molich &amp; Nielsen, 1990 (Communications of the ACM)</t>
        </is>
      </c>
      <c r="E63" s="2" t="inlineStr">
        <is>
          <t>L1, L5 (tangential — UI heuristics paper)</t>
        </is>
      </c>
      <c r="F63" s="3" t="inlineStr">
        <is>
          <t>—</t>
        </is>
      </c>
      <c r="G63" s="3" t="inlineStr">
        <is>
          <t>—</t>
        </is>
      </c>
      <c r="H63" s="3" t="inlineStr">
        <is>
          <t>—</t>
        </is>
      </c>
      <c r="I63" s="3" t="inlineStr">
        <is>
          <t>—</t>
        </is>
      </c>
      <c r="J63" s="3" t="inlineStr">
        <is>
          <t>—</t>
        </is>
      </c>
      <c r="K63" s="3" t="inlineStr">
        <is>
          <t>—</t>
        </is>
      </c>
      <c r="L63" s="6" t="inlineStr">
        <is>
          <t>L</t>
        </is>
      </c>
      <c r="M63" s="3" t="inlineStr">
        <is>
          <t>—</t>
        </is>
      </c>
      <c r="N63" s="3" t="inlineStr">
        <is>
          <t>—</t>
        </is>
      </c>
      <c r="O63" s="3" t="inlineStr">
        <is>
          <t>—</t>
        </is>
      </c>
      <c r="P63" s="6" t="inlineStr">
        <is>
          <t>L</t>
        </is>
      </c>
      <c r="Q63" s="3" t="inlineStr">
        <is>
          <t>—</t>
        </is>
      </c>
      <c r="R63" s="2" t="inlineStr">
        <is>
          <t>WM load management (explicit heuristic: minimize user's short-term memory burden)</t>
        </is>
      </c>
      <c r="S63" s="2" t="inlineStr">
        <is>
          <t>None (survey of designers' ability to spot usability problems, not reader moderators)</t>
        </is>
      </c>
      <c r="T63" s="2" t="inlineStr">
        <is>
          <t>Text-side, narrowly (rewriting dialogue/error messages); general/fixed heuristics, not personalized</t>
        </is>
      </c>
      <c r="U63" s="2" t="inlineStr">
        <is>
          <t>A survey of 77 designers found identifying specific usability problems (including error-message wording and memory-load reduction) difficult even for motivated professionals.</t>
        </is>
      </c>
      <c r="V63" s="2" t="inlineStr">
        <is>
          <t>Fundamentally a UI-heuristics/usability paper, not a reading-process study; offers no direct evidence on any V or L dimension as defined by this model.</t>
        </is>
      </c>
    </row>
    <row r="64" ht="60" customHeight="1">
      <c r="A64" s="2" t="inlineStr">
        <is>
          <t>Skimming</t>
        </is>
      </c>
      <c r="B64" s="2" t="inlineStr">
        <is>
          <t>the_elements_of_typographic_style.pdf</t>
        </is>
      </c>
      <c r="C64" s="2" t="inlineStr">
        <is>
          <t>The Elements of Typographic Style (2nd edition)</t>
        </is>
      </c>
      <c r="D64" s="2" t="inlineStr">
        <is>
          <t>Robert Bringhurst, 1996/1997</t>
        </is>
      </c>
      <c r="E64" s="2" t="inlineStr">
        <is>
          <t>V1, V2, V3</t>
        </is>
      </c>
      <c r="F64" s="5" t="inlineStr">
        <is>
          <t>H</t>
        </is>
      </c>
      <c r="G64" s="5" t="inlineStr">
        <is>
          <t>H</t>
        </is>
      </c>
      <c r="H64" s="4" t="inlineStr">
        <is>
          <t>M</t>
        </is>
      </c>
      <c r="I64" s="3" t="inlineStr">
        <is>
          <t>—</t>
        </is>
      </c>
      <c r="J64" s="6" t="inlineStr">
        <is>
          <t>L</t>
        </is>
      </c>
      <c r="K64" s="3" t="inlineStr">
        <is>
          <t>—</t>
        </is>
      </c>
      <c r="L64" s="3" t="inlineStr">
        <is>
          <t>—</t>
        </is>
      </c>
      <c r="M64" s="3" t="inlineStr">
        <is>
          <t>—</t>
        </is>
      </c>
      <c r="N64" s="3" t="inlineStr">
        <is>
          <t>—</t>
        </is>
      </c>
      <c r="O64" s="3" t="inlineStr">
        <is>
          <t>—</t>
        </is>
      </c>
      <c r="P64" s="3" t="inlineStr">
        <is>
          <t>—</t>
        </is>
      </c>
      <c r="Q64" s="3" t="inlineStr">
        <is>
          <t>—</t>
        </is>
      </c>
      <c r="R64" s="2" t="inlineStr">
        <is>
          <t>None explicitly framed as psychological mechanisms — design-craft manual, not empirical psychology (crowding relief implicit in spacing guidance)</t>
        </is>
      </c>
      <c r="S64" s="2" t="inlineStr">
        <is>
          <t>None (prescriptive design guide, not an empirical reader study)</t>
        </is>
      </c>
      <c r="T64" s="2" t="inlineStr">
        <is>
          <t>Fixed population default; text-side craft conventions intended as universal best practice</t>
        </is>
      </c>
      <c r="U64" s="2" t="inlineStr">
        <is>
          <t>A canonical prescriptive guide codifying typographic best practices (spacing, type choice, page structure) for legible, well-crafted printed text; not framed as empirical research.</t>
        </is>
      </c>
      <c r="V64" s="2" t="inlineStr">
        <is>
          <t>Entirely prescriptive/craft-based rather than empirical; no reference to reader moderators, digital medium, or any L-layer linguistic dimension.</t>
        </is>
      </c>
    </row>
  </sheetData>
  <autoFilter ref="A1:V64"/>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5"/>
  <sheetViews>
    <sheetView workbookViewId="0">
      <pane ySplit="1" topLeftCell="A2" activePane="bottomLeft" state="frozen"/>
      <selection pane="bottomLeft" activeCell="A1" sqref="A1"/>
    </sheetView>
  </sheetViews>
  <sheetFormatPr baseColWidth="8" defaultRowHeight="15"/>
  <cols>
    <col width="30" customWidth="1" min="1" max="1"/>
    <col width="8" customWidth="1" min="2" max="2"/>
    <col width="8" customWidth="1" min="3" max="3"/>
    <col width="8" customWidth="1" min="4" max="4"/>
    <col width="8" customWidth="1" min="5" max="5"/>
    <col width="20" customWidth="1" min="6" max="6"/>
    <col width="16" customWidth="1" min="7" max="7"/>
  </cols>
  <sheetData>
    <row r="1">
      <c r="A1" s="1" t="inlineStr">
        <is>
          <t>Dimension</t>
        </is>
      </c>
      <c r="B1" s="1" t="inlineStr">
        <is>
          <t>High</t>
        </is>
      </c>
      <c r="C1" s="1" t="inlineStr">
        <is>
          <t>Medium</t>
        </is>
      </c>
      <c r="D1" s="1" t="inlineStr">
        <is>
          <t>Low</t>
        </is>
      </c>
      <c r="E1" s="1" t="inlineStr">
        <is>
          <t>None</t>
        </is>
      </c>
      <c r="F1" s="1" t="inlineStr">
        <is>
          <t>Total Papers Engaging (H+M+L)</t>
        </is>
      </c>
      <c r="G1" s="1" t="inlineStr">
        <is>
          <t>% of Corpus Engaging</t>
        </is>
      </c>
    </row>
    <row r="2">
      <c r="A2" s="7" t="inlineStr">
        <is>
          <t>V1 Spatial density</t>
        </is>
      </c>
      <c r="B2" s="8">
        <f>COUNTIF(Matrix!F2:F64,"H")</f>
        <v>12</v>
      </c>
      <c r="C2" s="8">
        <f>COUNTIF(Matrix!F2:F64,"M")</f>
        <v>1</v>
      </c>
      <c r="D2" s="8">
        <f>COUNTIF(Matrix!F2:F64,"L")</f>
        <v>7</v>
      </c>
      <c r="E2" s="8">
        <f>COUNTIF(Matrix!F2:F64,"—")</f>
        <v>43</v>
      </c>
      <c r="F2" s="8">
        <f>B2+C2+D2</f>
        <v>20</v>
      </c>
      <c r="G2" s="9">
        <f>F2/63</f>
        <v>0.31746031746031744</v>
      </c>
    </row>
    <row r="3">
      <c r="A3" s="7" t="inlineStr">
        <is>
          <t>V2 Glyph legibility</t>
        </is>
      </c>
      <c r="B3" s="8">
        <f>COUNTIF(Matrix!G2:G64,"H")</f>
        <v>16</v>
      </c>
      <c r="C3" s="8">
        <f>COUNTIF(Matrix!G2:G64,"M")</f>
        <v>1</v>
      </c>
      <c r="D3" s="8">
        <f>COUNTIF(Matrix!G2:G64,"L")</f>
        <v>5</v>
      </c>
      <c r="E3" s="8">
        <f>COUNTIF(Matrix!G2:G64,"—")</f>
        <v>41</v>
      </c>
      <c r="F3" s="8">
        <f>B3+C3+D3</f>
        <v>22</v>
      </c>
      <c r="G3" s="9">
        <f>F3/63</f>
        <v>0.3492063492063492</v>
      </c>
    </row>
    <row r="4">
      <c r="A4" s="7" t="inlineStr">
        <is>
          <t>V3 Salience distribution</t>
        </is>
      </c>
      <c r="B4" s="8">
        <f>COUNTIF(Matrix!H2:H64,"H")</f>
        <v>2</v>
      </c>
      <c r="C4" s="8">
        <f>COUNTIF(Matrix!H2:H64,"M")</f>
        <v>10</v>
      </c>
      <c r="D4" s="8">
        <f>COUNTIF(Matrix!H2:H64,"L")</f>
        <v>8</v>
      </c>
      <c r="E4" s="8">
        <f>COUNTIF(Matrix!H2:H64,"—")</f>
        <v>43</v>
      </c>
      <c r="F4" s="8">
        <f>B4+C4+D4</f>
        <v>20</v>
      </c>
      <c r="G4" s="9">
        <f>F4/63</f>
        <v>0.31746031746031744</v>
      </c>
    </row>
    <row r="5">
      <c r="A5" s="7" t="inlineStr">
        <is>
          <t>V4 Temporal presentation</t>
        </is>
      </c>
      <c r="B5" s="8">
        <f>COUNTIF(Matrix!I2:I64,"H")</f>
        <v>2</v>
      </c>
      <c r="C5" s="8">
        <f>COUNTIF(Matrix!I2:I64,"M")</f>
        <v>6</v>
      </c>
      <c r="D5" s="8">
        <f>COUNTIF(Matrix!I2:I64,"L")</f>
        <v>5</v>
      </c>
      <c r="E5" s="8">
        <f>COUNTIF(Matrix!I2:I64,"—")</f>
        <v>50</v>
      </c>
      <c r="F5" s="8">
        <f>B5+C5+D5</f>
        <v>13</v>
      </c>
      <c r="G5" s="9">
        <f>F5/63</f>
        <v>0.20634920634920634</v>
      </c>
    </row>
    <row r="6">
      <c r="A6" s="7" t="inlineStr">
        <is>
          <t>V5 Layout-structure mapping</t>
        </is>
      </c>
      <c r="B6" s="8">
        <f>COUNTIF(Matrix!J2:J64,"H")</f>
        <v>5</v>
      </c>
      <c r="C6" s="8">
        <f>COUNTIF(Matrix!J2:J64,"M")</f>
        <v>7</v>
      </c>
      <c r="D6" s="8">
        <f>COUNTIF(Matrix!J2:J64,"L")</f>
        <v>13</v>
      </c>
      <c r="E6" s="8">
        <f>COUNTIF(Matrix!J2:J64,"—")</f>
        <v>38</v>
      </c>
      <c r="F6" s="8">
        <f>B6+C6+D6</f>
        <v>25</v>
      </c>
      <c r="G6" s="9">
        <f>F6/63</f>
        <v>0.3968253968253968</v>
      </c>
    </row>
    <row r="7">
      <c r="A7" s="7" t="inlineStr">
        <is>
          <t>V6 Navigation structure</t>
        </is>
      </c>
      <c r="B7" s="8">
        <f>COUNTIF(Matrix!K2:K64,"H")</f>
        <v>9</v>
      </c>
      <c r="C7" s="8">
        <f>COUNTIF(Matrix!K2:K64,"M")</f>
        <v>5</v>
      </c>
      <c r="D7" s="8">
        <f>COUNTIF(Matrix!K2:K64,"L")</f>
        <v>8</v>
      </c>
      <c r="E7" s="8">
        <f>COUNTIF(Matrix!K2:K64,"—")</f>
        <v>41</v>
      </c>
      <c r="F7" s="8">
        <f>B7+C7+D7</f>
        <v>22</v>
      </c>
      <c r="G7" s="9">
        <f>F7/63</f>
        <v>0.3492063492063492</v>
      </c>
    </row>
    <row r="8">
      <c r="A8" s="7" t="inlineStr">
        <is>
          <t>L1 Lexical sophistication</t>
        </is>
      </c>
      <c r="B8" s="8">
        <f>COUNTIF(Matrix!L2:L64,"H")</f>
        <v>1</v>
      </c>
      <c r="C8" s="8">
        <f>COUNTIF(Matrix!L2:L64,"M")</f>
        <v>4</v>
      </c>
      <c r="D8" s="8">
        <f>COUNTIF(Matrix!L2:L64,"L")</f>
        <v>4</v>
      </c>
      <c r="E8" s="8">
        <f>COUNTIF(Matrix!L2:L64,"—")</f>
        <v>54</v>
      </c>
      <c r="F8" s="8">
        <f>B8+C8+D8</f>
        <v>9</v>
      </c>
      <c r="G8" s="9">
        <f>F8/63</f>
        <v>0.14285714285714285</v>
      </c>
    </row>
    <row r="9">
      <c r="A9" s="7" t="inlineStr">
        <is>
          <t>L2 Syntactic complexity</t>
        </is>
      </c>
      <c r="B9" s="8">
        <f>COUNTIF(Matrix!M2:M64,"H")</f>
        <v>0</v>
      </c>
      <c r="C9" s="8">
        <f>COUNTIF(Matrix!M2:M64,"M")</f>
        <v>2</v>
      </c>
      <c r="D9" s="8">
        <f>COUNTIF(Matrix!M2:M64,"L")</f>
        <v>3</v>
      </c>
      <c r="E9" s="8">
        <f>COUNTIF(Matrix!M2:M64,"—")</f>
        <v>58</v>
      </c>
      <c r="F9" s="8">
        <f>B9+C9+D9</f>
        <v>5</v>
      </c>
      <c r="G9" s="9">
        <f>F9/63</f>
        <v>0.07936507936507936</v>
      </c>
    </row>
    <row r="10">
      <c r="A10" s="7" t="inlineStr">
        <is>
          <t>L3 Cohesion</t>
        </is>
      </c>
      <c r="B10" s="8">
        <f>COUNTIF(Matrix!N2:N64,"H")</f>
        <v>3</v>
      </c>
      <c r="C10" s="8">
        <f>COUNTIF(Matrix!N2:N64,"M")</f>
        <v>4</v>
      </c>
      <c r="D10" s="8">
        <f>COUNTIF(Matrix!N2:N64,"L")</f>
        <v>7</v>
      </c>
      <c r="E10" s="8">
        <f>COUNTIF(Matrix!N2:N64,"—")</f>
        <v>49</v>
      </c>
      <c r="F10" s="8">
        <f>B10+C10+D10</f>
        <v>14</v>
      </c>
      <c r="G10" s="9">
        <f>F10/63</f>
        <v>0.2222222222222222</v>
      </c>
    </row>
    <row r="11">
      <c r="A11" s="7" t="inlineStr">
        <is>
          <t>L4 Compression</t>
        </is>
      </c>
      <c r="B11" s="8">
        <f>COUNTIF(Matrix!O2:O64,"H")</f>
        <v>0</v>
      </c>
      <c r="C11" s="8">
        <f>COUNTIF(Matrix!O2:O64,"M")</f>
        <v>2</v>
      </c>
      <c r="D11" s="8">
        <f>COUNTIF(Matrix!O2:O64,"L")</f>
        <v>3</v>
      </c>
      <c r="E11" s="8">
        <f>COUNTIF(Matrix!O2:O64,"—")</f>
        <v>58</v>
      </c>
      <c r="F11" s="8">
        <f>B11+C11+D11</f>
        <v>5</v>
      </c>
      <c r="G11" s="9">
        <f>F11/63</f>
        <v>0.07936507936507936</v>
      </c>
    </row>
    <row r="12">
      <c r="A12" s="7" t="inlineStr">
        <is>
          <t>L5 Rhetorical scaffolding</t>
        </is>
      </c>
      <c r="B12" s="8">
        <f>COUNTIF(Matrix!P2:P64,"H")</f>
        <v>5</v>
      </c>
      <c r="C12" s="8">
        <f>COUNTIF(Matrix!P2:P64,"M")</f>
        <v>4</v>
      </c>
      <c r="D12" s="8">
        <f>COUNTIF(Matrix!P2:P64,"L")</f>
        <v>6</v>
      </c>
      <c r="E12" s="8">
        <f>COUNTIF(Matrix!P2:P64,"—")</f>
        <v>48</v>
      </c>
      <c r="F12" s="8">
        <f>B12+C12+D12</f>
        <v>15</v>
      </c>
      <c r="G12" s="9">
        <f>F12/63</f>
        <v>0.23809523809523808</v>
      </c>
    </row>
    <row r="13">
      <c r="A13" s="7" t="inlineStr">
        <is>
          <t>L6 Narrativity/genre</t>
        </is>
      </c>
      <c r="B13" s="8">
        <f>COUNTIF(Matrix!Q2:Q64,"H")</f>
        <v>2</v>
      </c>
      <c r="C13" s="8">
        <f>COUNTIF(Matrix!Q2:Q64,"M")</f>
        <v>2</v>
      </c>
      <c r="D13" s="8">
        <f>COUNTIF(Matrix!Q2:Q64,"L")</f>
        <v>5</v>
      </c>
      <c r="E13" s="8">
        <f>COUNTIF(Matrix!Q2:Q64,"—")</f>
        <v>54</v>
      </c>
      <c r="F13" s="8">
        <f>B13+C13+D13</f>
        <v>9</v>
      </c>
      <c r="G13" s="9">
        <f>F13/63</f>
        <v>0.14285714285714285</v>
      </c>
    </row>
    <row r="15">
      <c r="A15" s="10" t="inlineStr">
        <is>
          <t>Total unique papers in corpus: 63</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06"/>
  <sheetViews>
    <sheetView workbookViewId="0">
      <pane ySplit="1" topLeftCell="A2" activePane="bottomLeft" state="frozen"/>
      <selection pane="bottomLeft" activeCell="A1" sqref="A1"/>
    </sheetView>
  </sheetViews>
  <sheetFormatPr baseColWidth="8" defaultRowHeight="15"/>
  <cols>
    <col width="14" customWidth="1" min="1" max="1"/>
    <col width="42" customWidth="1" min="2" max="2"/>
    <col width="20" customWidth="1" min="3" max="3"/>
    <col width="22" customWidth="1" min="4" max="4"/>
    <col width="9" customWidth="1" min="5" max="5"/>
    <col width="60" customWidth="1" min="6" max="6"/>
  </cols>
  <sheetData>
    <row r="1">
      <c r="A1" s="1" t="inlineStr">
        <is>
          <t>Folder</t>
        </is>
      </c>
      <c r="B1" s="1" t="inlineStr">
        <is>
          <t>Title</t>
        </is>
      </c>
      <c r="C1" s="1" t="inlineStr">
        <is>
          <t>Authors/Year</t>
        </is>
      </c>
      <c r="D1" s="1" t="inlineStr">
        <is>
          <t>Dimension</t>
        </is>
      </c>
      <c r="E1" s="1" t="inlineStr">
        <is>
          <t>Level</t>
        </is>
      </c>
      <c r="F1" s="1" t="inlineStr">
        <is>
          <t>Note</t>
        </is>
      </c>
    </row>
    <row r="2">
      <c r="A2" s="2" t="inlineStr">
        <is>
          <t>Comprehension</t>
        </is>
      </c>
      <c r="B2" s="2" t="inlineStr">
        <is>
          <t>An Analysis of Concept Mapping Style in EFL Reading Comprehension from the Viewpoint of Paragraph Structure of Text</t>
        </is>
      </c>
      <c r="C2" s="2" t="inlineStr">
        <is>
          <t>Andoko et al., 2019</t>
        </is>
      </c>
      <c r="D2" s="11" t="inlineStr">
        <is>
          <t>V5 Layout-structure mapping</t>
        </is>
      </c>
      <c r="E2" s="4" t="inlineStr">
        <is>
          <t>Medium</t>
        </is>
      </c>
      <c r="F2" s="2" t="inlineStr">
        <is>
          <t>Paragraph structure treated as the text's macro-organizational unit analyzed against learners' concept-map order; base text layout not manipulated.</t>
        </is>
      </c>
    </row>
    <row r="3">
      <c r="A3" s="2" t="inlineStr">
        <is>
          <t>Comprehension</t>
        </is>
      </c>
      <c r="B3" s="2" t="inlineStr">
        <is>
          <t>An Analysis of Concept Mapping Style in EFL Reading Comprehension from the Viewpoint of Paragraph Structure of Text</t>
        </is>
      </c>
      <c r="C3" s="2" t="inlineStr">
        <is>
          <t>Andoko et al., 2019</t>
        </is>
      </c>
      <c r="D3" s="11" t="inlineStr">
        <is>
          <t>L3 Cohesion</t>
        </is>
      </c>
      <c r="E3" s="4" t="inlineStr">
        <is>
          <t>Medium</t>
        </is>
      </c>
      <c r="F3" s="2" t="inlineStr">
        <is>
          <t>Paragraph boundaries used as proxy for meaning units/cohesion; deviation from sentence order is the outcome of interest.</t>
        </is>
      </c>
    </row>
    <row r="4">
      <c r="A4" s="2" t="inlineStr">
        <is>
          <t>Comprehension</t>
        </is>
      </c>
      <c r="B4" s="2" t="inlineStr">
        <is>
          <t>An Analysis of Concept Mapping Style in EFL Reading Comprehension from the Viewpoint of Paragraph Structure of Text</t>
        </is>
      </c>
      <c r="C4" s="2" t="inlineStr">
        <is>
          <t>Andoko et al., 2019</t>
        </is>
      </c>
      <c r="D4" s="11" t="inlineStr">
        <is>
          <t>L5 Rhetorical scaffolding</t>
        </is>
      </c>
      <c r="E4" s="5" t="inlineStr">
        <is>
          <t>High</t>
        </is>
      </c>
      <c r="F4" s="2" t="inlineStr">
        <is>
          <t>Central variable: whether concept-mapping style (Kit-Build vs Scratch-Build) tracks or deviates from the text's paragraph structure.</t>
        </is>
      </c>
    </row>
    <row r="5">
      <c r="A5" s="2" t="inlineStr">
        <is>
          <t>Comprehension</t>
        </is>
      </c>
      <c r="B5" s="2" t="inlineStr">
        <is>
          <t>Impact of English Reading Comprehension Abilities on Processing Magazine Style Narrative Visualizations and Implications for Personalization</t>
        </is>
      </c>
      <c r="C5" s="2" t="inlineStr">
        <is>
          <t>Toker et al., 2019</t>
        </is>
      </c>
      <c r="D5" s="11" t="inlineStr">
        <is>
          <t>V3 Salience distribution</t>
        </is>
      </c>
      <c r="E5" s="4" t="inlineStr">
        <is>
          <t>Medium</t>
        </is>
      </c>
      <c r="F5" s="2" t="inlineStr">
        <is>
          <t>Discusses split-attention/attention-cuing between text and embedded visualizations; reviewed/contextual, IV is reader ability not visual salience.</t>
        </is>
      </c>
    </row>
    <row r="6">
      <c r="A6" s="2" t="inlineStr">
        <is>
          <t>Comprehension</t>
        </is>
      </c>
      <c r="B6" s="2" t="inlineStr">
        <is>
          <t>The Effect of Text Typographical Features on Legibility, Comprehension, and Retrieval of EFL Learners</t>
        </is>
      </c>
      <c r="C6" s="2" t="inlineStr">
        <is>
          <t>Soleimani &amp; Mohammadi, 2012</t>
        </is>
      </c>
      <c r="D6" s="11" t="inlineStr">
        <is>
          <t>V1 Spatial density</t>
        </is>
      </c>
      <c r="E6" s="5" t="inlineStr">
        <is>
          <t>High</t>
        </is>
      </c>
      <c r="F6" s="2" t="inlineStr">
        <is>
          <t>Line spacing (single vs double/leading) manipulated as core IV.</t>
        </is>
      </c>
    </row>
    <row r="7">
      <c r="A7" s="2" t="inlineStr">
        <is>
          <t>Comprehension</t>
        </is>
      </c>
      <c r="B7" s="2" t="inlineStr">
        <is>
          <t>The Effect of Text Typographical Features on Legibility, Comprehension, and Retrieval of EFL Learners</t>
        </is>
      </c>
      <c r="C7" s="2" t="inlineStr">
        <is>
          <t>Soleimani &amp; Mohammadi, 2012</t>
        </is>
      </c>
      <c r="D7" s="11" t="inlineStr">
        <is>
          <t>V2 Glyph legibility</t>
        </is>
      </c>
      <c r="E7" s="5" t="inlineStr">
        <is>
          <t>High</t>
        </is>
      </c>
      <c r="F7" s="2" t="inlineStr">
        <is>
          <t>Font type (Arial vs Bookman Old Style) and size (10 vs 12pt) manipulated as core IVs.</t>
        </is>
      </c>
    </row>
    <row r="8">
      <c r="A8" s="2" t="inlineStr">
        <is>
          <t>Comprehension</t>
        </is>
      </c>
      <c r="B8" s="2" t="inlineStr">
        <is>
          <t>Improving Reading Comprehension of Expository Texts through Text-Structure-Aligned Graphic Organizers for Higher Education Students</t>
        </is>
      </c>
      <c r="C8" s="2" t="inlineStr">
        <is>
          <t>Marginingsih, Muhtarom &amp; Sundari, 2025</t>
        </is>
      </c>
      <c r="D8" s="11" t="inlineStr">
        <is>
          <t>V5 Layout-structure mapping</t>
        </is>
      </c>
      <c r="E8" s="4" t="inlineStr">
        <is>
          <t>Medium</t>
        </is>
      </c>
      <c r="F8" s="2" t="inlineStr">
        <is>
          <t>Graphic organizers (T-Charts, Venn Diagrams) are external spatial devices mapping onto rhetorical structure, augmenting rather than restructuring base text layout.</t>
        </is>
      </c>
    </row>
    <row r="9">
      <c r="A9" s="2" t="inlineStr">
        <is>
          <t>Comprehension</t>
        </is>
      </c>
      <c r="B9" s="2" t="inlineStr">
        <is>
          <t>Improving Reading Comprehension of Expository Texts through Text-Structure-Aligned Graphic Organizers for Higher Education Students</t>
        </is>
      </c>
      <c r="C9" s="2" t="inlineStr">
        <is>
          <t>Marginingsih, Muhtarom &amp; Sundari, 2025</t>
        </is>
      </c>
      <c r="D9" s="11" t="inlineStr">
        <is>
          <t>L5 Rhetorical scaffolding</t>
        </is>
      </c>
      <c r="E9" s="5" t="inlineStr">
        <is>
          <t>High</t>
        </is>
      </c>
      <c r="F9" s="2" t="inlineStr">
        <is>
          <t>Central manipulation: aligning rhetorical/structural scaffold (organizer type) with text's expository structure.</t>
        </is>
      </c>
    </row>
    <row r="10">
      <c r="A10" s="2" t="inlineStr">
        <is>
          <t>Comprehension</t>
        </is>
      </c>
      <c r="B10" s="2" t="inlineStr">
        <is>
          <t>The Influence of Reading Purpose on Inference Generation and Comprehension in Reading</t>
        </is>
      </c>
      <c r="C10" s="2" t="inlineStr">
        <is>
          <t>Narvaez, van den Broek &amp; Barron Ruiz, 1999</t>
        </is>
      </c>
      <c r="D10" s="11" t="inlineStr">
        <is>
          <t>L3 Cohesion</t>
        </is>
      </c>
      <c r="E10" s="4" t="inlineStr">
        <is>
          <t>Medium</t>
        </is>
      </c>
      <c r="F10" s="2" t="inlineStr">
        <is>
          <t>Inference generation (bridging/backward/forward) relates to cohesion-building, though cohesion itself not manipulated.</t>
        </is>
      </c>
    </row>
    <row r="11">
      <c r="A11" s="2" t="inlineStr">
        <is>
          <t>Comprehension</t>
        </is>
      </c>
      <c r="B11" s="2" t="inlineStr">
        <is>
          <t>The Influence of Reading Purpose on Inference Generation and Comprehension in Reading</t>
        </is>
      </c>
      <c r="C11" s="2" t="inlineStr">
        <is>
          <t>Narvaez, van den Broek &amp; Barron Ruiz, 1999</t>
        </is>
      </c>
      <c r="D11" s="11" t="inlineStr">
        <is>
          <t>L6 Narrativity/genre</t>
        </is>
      </c>
      <c r="E11" s="5" t="inlineStr">
        <is>
          <t>High</t>
        </is>
      </c>
      <c r="F11" s="2" t="inlineStr">
        <is>
          <t>Narrative vs expository text type is a key manipulated/contrasted factor.</t>
        </is>
      </c>
    </row>
    <row r="12">
      <c r="A12" s="2" t="inlineStr">
        <is>
          <t>Comprehension</t>
        </is>
      </c>
      <c r="B12" s="2" t="inlineStr">
        <is>
          <t>Comprehension: A Paradigm for Cognition</t>
        </is>
      </c>
      <c r="C12" s="2" t="inlineStr">
        <is>
          <t>Kintsch, 1998</t>
        </is>
      </c>
      <c r="D12" s="11" t="inlineStr">
        <is>
          <t>L3 Cohesion</t>
        </is>
      </c>
      <c r="E12" s="5" t="inlineStr">
        <is>
          <t>High</t>
        </is>
      </c>
      <c r="F12" s="2" t="inlineStr">
        <is>
          <t>Construction-integration model's core machinery (textbase, situation model, macrostructure, anaphora resolution) is fundamentally about cohesion/coherence-building.</t>
        </is>
      </c>
    </row>
    <row r="13">
      <c r="A13" s="2" t="inlineStr">
        <is>
          <t>Comprehension</t>
        </is>
      </c>
      <c r="B13" s="2" t="inlineStr">
        <is>
          <t>Impact of the Layout on Web Comprehension</t>
        </is>
      </c>
      <c r="C13" s="2" t="inlineStr">
        <is>
          <t>Yoldi Martín-Calpena, Iglesias Maqueda &amp; Morato Lara, 2022</t>
        </is>
      </c>
      <c r="D13" s="11" t="inlineStr">
        <is>
          <t>V3 Salience distribution</t>
        </is>
      </c>
      <c r="E13" s="4" t="inlineStr">
        <is>
          <t>Medium</t>
        </is>
      </c>
      <c r="F13" s="2" t="inlineStr">
        <is>
          <t>Bold/italic emphasis markup analyzed as salience-related features.</t>
        </is>
      </c>
    </row>
    <row r="14">
      <c r="A14" s="2" t="inlineStr">
        <is>
          <t>Comprehension</t>
        </is>
      </c>
      <c r="B14" s="2" t="inlineStr">
        <is>
          <t>Impact of the Layout on Web Comprehension</t>
        </is>
      </c>
      <c r="C14" s="2" t="inlineStr">
        <is>
          <t>Yoldi Martín-Calpena, Iglesias Maqueda &amp; Morato Lara, 2022</t>
        </is>
      </c>
      <c r="D14" s="11" t="inlineStr">
        <is>
          <t>V5 Layout-structure mapping</t>
        </is>
      </c>
      <c r="E14" s="5" t="inlineStr">
        <is>
          <t>High</t>
        </is>
      </c>
      <c r="F14" s="2" t="inlineStr">
        <is>
          <t>Central: HTML/CSS structural elements (headings, paragraph hierarchies) extracted and correlated with expert-judged comprehension difficulty via ML classification.</t>
        </is>
      </c>
    </row>
    <row r="15">
      <c r="A15" s="2" t="inlineStr">
        <is>
          <t>Comprehension</t>
        </is>
      </c>
      <c r="B15" s="2" t="inlineStr">
        <is>
          <t>Impact of the Layout on Web Comprehension</t>
        </is>
      </c>
      <c r="C15" s="2" t="inlineStr">
        <is>
          <t>Yoldi Martín-Calpena, Iglesias Maqueda &amp; Morato Lara, 2022</t>
        </is>
      </c>
      <c r="D15" s="11" t="inlineStr">
        <is>
          <t>V6 Navigation structure</t>
        </is>
      </c>
      <c r="E15" s="4" t="inlineStr">
        <is>
          <t>Medium</t>
        </is>
      </c>
      <c r="F15" s="2" t="inlineStr">
        <is>
          <t>Number of links per page analyzed as navigation-related feature affecting comprehension-difficulty classification.</t>
        </is>
      </c>
    </row>
    <row r="16">
      <c r="A16" s="2" t="inlineStr">
        <is>
          <t>Comprehension</t>
        </is>
      </c>
      <c r="B16" s="2" t="inlineStr">
        <is>
          <t>Impact of the Layout on Web Comprehension</t>
        </is>
      </c>
      <c r="C16" s="2" t="inlineStr">
        <is>
          <t>Yoldi Martín-Calpena, Iglesias Maqueda &amp; Morato Lara, 2022</t>
        </is>
      </c>
      <c r="D16" s="11" t="inlineStr">
        <is>
          <t>L5 Rhetorical scaffolding</t>
        </is>
      </c>
      <c r="E16" s="4" t="inlineStr">
        <is>
          <t>Medium</t>
        </is>
      </c>
      <c r="F16" s="2" t="inlineStr">
        <is>
          <t>Headings as rhetorical/structural scaffolding examined as classification feature (overlaps V5).</t>
        </is>
      </c>
    </row>
    <row r="17">
      <c r="A17" s="2" t="inlineStr">
        <is>
          <t>Comprehension</t>
        </is>
      </c>
      <c r="B17" s="2" t="inlineStr">
        <is>
          <t>The Effects of Interletter and Line Spacing on Reading Speed, Comprehension, and Perceived Comfortability</t>
        </is>
      </c>
      <c r="C17" s="2" t="inlineStr">
        <is>
          <t>Kristjánsdóttir &amp; Gunnarsson, 2024</t>
        </is>
      </c>
      <c r="D17" s="11" t="inlineStr">
        <is>
          <t>V1 Spatial density</t>
        </is>
      </c>
      <c r="E17" s="5" t="inlineStr">
        <is>
          <t>High</t>
        </is>
      </c>
      <c r="F17" s="2" t="inlineStr">
        <is>
          <t>Interletter spacing and line spacing on a mobile device are core manipulated variables.</t>
        </is>
      </c>
    </row>
    <row r="18">
      <c r="A18" s="2" t="inlineStr">
        <is>
          <t>Comprehension</t>
        </is>
      </c>
      <c r="B18" s="2" t="inlineStr">
        <is>
          <t>The Impact of Identifier Style on Effort and Comprehension</t>
        </is>
      </c>
      <c r="C18" s="2" t="inlineStr">
        <is>
          <t>Binkley et al., 2013 (online 2012)</t>
        </is>
      </c>
      <c r="D18" s="11" t="inlineStr">
        <is>
          <t>V2 Glyph legibility</t>
        </is>
      </c>
      <c r="E18" s="5" t="inlineStr">
        <is>
          <t>High</t>
        </is>
      </c>
      <c r="F18" s="2" t="inlineStr">
        <is>
          <t>camelCase vs underscore identifier style is the central manipulated typographic/visual-segmentation variable (source code domain).</t>
        </is>
      </c>
    </row>
    <row r="19">
      <c r="A19" s="2" t="inlineStr">
        <is>
          <t>Comprehension</t>
        </is>
      </c>
      <c r="B19" s="2" t="inlineStr">
        <is>
          <t>The Impact of Identifier Style on Effort and Comprehension</t>
        </is>
      </c>
      <c r="C19" s="2" t="inlineStr">
        <is>
          <t>Binkley et al., 2013 (online 2012)</t>
        </is>
      </c>
      <c r="D19" s="11" t="inlineStr">
        <is>
          <t>L1 Lexical sophistication</t>
        </is>
      </c>
      <c r="E19" s="4" t="inlineStr">
        <is>
          <t>Medium</t>
        </is>
      </c>
      <c r="F19" s="2" t="inlineStr">
        <is>
          <t>Relates to lexical segmentation/word recognition of compound identifiers, secondary to typographic framing.</t>
        </is>
      </c>
    </row>
    <row r="20">
      <c r="A20" s="2" t="inlineStr">
        <is>
          <t>Comprehension</t>
        </is>
      </c>
      <c r="B20" s="2" t="inlineStr">
        <is>
          <t>How Physical Text Layout Affects Reading from Screen</t>
        </is>
      </c>
      <c r="C20" s="2" t="inlineStr">
        <is>
          <t>Dyson, 2004</t>
        </is>
      </c>
      <c r="D20" s="11" t="inlineStr">
        <is>
          <t>V1 Spatial density</t>
        </is>
      </c>
      <c r="E20" s="5" t="inlineStr">
        <is>
          <t>High</t>
        </is>
      </c>
      <c r="F20" s="2" t="inlineStr">
        <is>
          <t>Line length, characters per line, interlinear spacing, and window size are the central variables synthesized across studies.</t>
        </is>
      </c>
    </row>
    <row r="21">
      <c r="A21" s="2" t="inlineStr">
        <is>
          <t>Comprehension</t>
        </is>
      </c>
      <c r="B21" s="2" t="inlineStr">
        <is>
          <t>Type and Tale: The Effects of Typography and Narratives on Comprehension</t>
        </is>
      </c>
      <c r="C21" s="2" t="inlineStr">
        <is>
          <t>Endres et al., 2025 (preprint)</t>
        </is>
      </c>
      <c r="D21" s="11" t="inlineStr">
        <is>
          <t>V2 Glyph legibility</t>
        </is>
      </c>
      <c r="E21" s="5" t="inlineStr">
        <is>
          <t>High</t>
        </is>
      </c>
      <c r="F21" s="2" t="inlineStr">
        <is>
          <t>'Appealing' (professional, designed) vs neutral typography is a central manipulated variable (2x2 design).</t>
        </is>
      </c>
    </row>
    <row r="22">
      <c r="A22" s="2" t="inlineStr">
        <is>
          <t>Comprehension</t>
        </is>
      </c>
      <c r="B22" s="2" t="inlineStr">
        <is>
          <t>Type and Tale: The Effects of Typography and Narratives on Comprehension</t>
        </is>
      </c>
      <c r="C22" s="2" t="inlineStr">
        <is>
          <t>Endres et al., 2025 (preprint)</t>
        </is>
      </c>
      <c r="D22" s="11" t="inlineStr">
        <is>
          <t>L6 Narrativity/genre</t>
        </is>
      </c>
      <c r="E22" s="5" t="inlineStr">
        <is>
          <t>High</t>
        </is>
      </c>
      <c r="F22" s="2" t="inlineStr">
        <is>
          <t>Narrative vs expository framing of the same content is the second central manipulated variable (2x2 design).</t>
        </is>
      </c>
    </row>
    <row r="23">
      <c r="A23" s="2" t="inlineStr">
        <is>
          <t>Proofreading</t>
        </is>
      </c>
      <c r="B23" s="2" t="inlineStr">
        <is>
          <t>The Effects of White Space in Layout on Reading Performance and Aesthetic Preference on Small Handheld Device Screens</t>
        </is>
      </c>
      <c r="C23" s="2" t="inlineStr">
        <is>
          <t>Huang &amp; Li, 2017</t>
        </is>
      </c>
      <c r="D23" s="11" t="inlineStr">
        <is>
          <t>V1 Spatial density</t>
        </is>
      </c>
      <c r="E23" s="5" t="inlineStr">
        <is>
          <t>High</t>
        </is>
      </c>
      <c r="F23" s="2" t="inlineStr">
        <is>
          <t>Central 3x2x2 manipulation of page margin (white space), line spacing, and paragraph spacing on smartphone screens, measured via proofreading time.</t>
        </is>
      </c>
    </row>
    <row r="24">
      <c r="A24" s="2" t="inlineStr">
        <is>
          <t>Proofreading</t>
        </is>
      </c>
      <c r="B24" s="2" t="inlineStr">
        <is>
          <t>The Effects of White Space in Layout on Reading Performance and Aesthetic Preference on Small Handheld Device Screens</t>
        </is>
      </c>
      <c r="C24" s="2" t="inlineStr">
        <is>
          <t>Huang &amp; Li, 2017</t>
        </is>
      </c>
      <c r="D24" s="11" t="inlineStr">
        <is>
          <t>V3 Salience distribution</t>
        </is>
      </c>
      <c r="E24" s="4" t="inlineStr">
        <is>
          <t>Medium</t>
        </is>
      </c>
      <c r="F24" s="2" t="inlineStr">
        <is>
          <t>White space allocation implicitly shifts visual density/salience across the page, though not framed as salience per se.</t>
        </is>
      </c>
    </row>
    <row r="25">
      <c r="A25" s="2" t="inlineStr">
        <is>
          <t>Proofreading</t>
        </is>
      </c>
      <c r="B25" s="2" t="inlineStr">
        <is>
          <t>What impacts success in proofreading? A literature review of text feature effects</t>
        </is>
      </c>
      <c r="C25" s="2" t="inlineStr">
        <is>
          <t>Mouthaan &amp; Vitello, 2022 (Cambridge Univ. Press &amp; Assessment)</t>
        </is>
      </c>
      <c r="D25" s="11" t="inlineStr">
        <is>
          <t>V1 Spatial density</t>
        </is>
      </c>
      <c r="E25" s="5" t="inlineStr">
        <is>
          <t>High</t>
        </is>
      </c>
      <c r="F25" s="2" t="inlineStr">
        <is>
          <t>Dedicated review section on line length, line spacing, and text alignment as core 'line features'.</t>
        </is>
      </c>
    </row>
    <row r="26">
      <c r="A26" s="2" t="inlineStr">
        <is>
          <t>Proofreading</t>
        </is>
      </c>
      <c r="B26" s="2" t="inlineStr">
        <is>
          <t>What impacts success in proofreading? A literature review of text feature effects</t>
        </is>
      </c>
      <c r="C26" s="2" t="inlineStr">
        <is>
          <t>Mouthaan &amp; Vitello, 2022 (Cambridge Univ. Press &amp; Assessment)</t>
        </is>
      </c>
      <c r="D26" s="11" t="inlineStr">
        <is>
          <t>V2 Glyph legibility</t>
        </is>
      </c>
      <c r="E26" s="5" t="inlineStr">
        <is>
          <t>High</t>
        </is>
      </c>
      <c r="F26" s="2" t="inlineStr">
        <is>
          <t>Dedicated review section on text size, typefaces, and fonts.</t>
        </is>
      </c>
    </row>
    <row r="27">
      <c r="A27" s="2" t="inlineStr">
        <is>
          <t>Proofreading</t>
        </is>
      </c>
      <c r="B27" s="2" t="inlineStr">
        <is>
          <t>What impacts success in proofreading? A literature review of text feature effects</t>
        </is>
      </c>
      <c r="C27" s="2" t="inlineStr">
        <is>
          <t>Mouthaan &amp; Vitello, 2022 (Cambridge Univ. Press &amp; Assessment)</t>
        </is>
      </c>
      <c r="D27" s="11" t="inlineStr">
        <is>
          <t>L1 Lexical sophistication</t>
        </is>
      </c>
      <c r="E27" s="5" t="inlineStr">
        <is>
          <t>High</t>
        </is>
      </c>
      <c r="F27" s="2" t="inlineStr">
        <is>
          <t>Dedicated section on lexical factors: word frequency, predictability, homophones, and word shape as drivers of missed errors.</t>
        </is>
      </c>
    </row>
    <row r="28">
      <c r="A28" s="2" t="inlineStr">
        <is>
          <t>Proofreading</t>
        </is>
      </c>
      <c r="B28" s="2" t="inlineStr">
        <is>
          <t>What impacts success in proofreading? A literature review of proofreading on screen vs on paper</t>
        </is>
      </c>
      <c r="C28" s="2" t="inlineStr">
        <is>
          <t>Vitello, 2022 (Cambridge Univ. Press &amp; Assessment)</t>
        </is>
      </c>
      <c r="D28" s="11" t="inlineStr">
        <is>
          <t>V4 Temporal presentation</t>
        </is>
      </c>
      <c r="E28" s="5" t="inlineStr">
        <is>
          <t>High</t>
        </is>
      </c>
      <c r="F28" s="2" t="inlineStr">
        <is>
          <t>Central axis: screen vs paper presentation, synthesizing 13 studies/26 experiments.</t>
        </is>
      </c>
    </row>
    <row r="29">
      <c r="A29" s="2" t="inlineStr">
        <is>
          <t>Proofreading</t>
        </is>
      </c>
      <c r="B29" s="2" t="inlineStr">
        <is>
          <t>What impacts success in proofreading? A literature review of proofreading on screen vs on paper</t>
        </is>
      </c>
      <c r="C29" s="2" t="inlineStr">
        <is>
          <t>Vitello, 2022 (Cambridge Univ. Press &amp; Assessment)</t>
        </is>
      </c>
      <c r="D29" s="11" t="inlineStr">
        <is>
          <t>V6 Navigation structure</t>
        </is>
      </c>
      <c r="E29" s="4" t="inlineStr">
        <is>
          <t>Medium</t>
        </is>
      </c>
      <c r="F29" s="2" t="inlineStr">
        <is>
          <t>Screen type, scrolling vs paginated presentation discussed as methodological features varying across reviewed studies.</t>
        </is>
      </c>
    </row>
    <row r="30">
      <c r="A30" s="2" t="inlineStr">
        <is>
          <t>Proofreading</t>
        </is>
      </c>
      <c r="B30" s="2" t="inlineStr">
        <is>
          <t>Developing Optimum Interface Design for On-Screen Chinese Proofreading Tasks</t>
        </is>
      </c>
      <c r="C30" s="2" t="inlineStr">
        <is>
          <t>Chan, So &amp; Tsang, 2011 (HCII, LNCS 6772)</t>
        </is>
      </c>
      <c r="D30" s="11" t="inlineStr">
        <is>
          <t>V1 Spatial density</t>
        </is>
      </c>
      <c r="E30" s="4" t="inlineStr">
        <is>
          <t>Medium</t>
        </is>
      </c>
      <c r="F30" s="2" t="inlineStr">
        <is>
          <t>Reviews line spacing/line length/number-of-lines effects on proofreading, plans to test them.</t>
        </is>
      </c>
    </row>
    <row r="31">
      <c r="A31" s="2" t="inlineStr">
        <is>
          <t>Proofreading</t>
        </is>
      </c>
      <c r="B31" s="2" t="inlineStr">
        <is>
          <t>Developing Optimum Interface Design for On-Screen Chinese Proofreading Tasks</t>
        </is>
      </c>
      <c r="C31" s="2" t="inlineStr">
        <is>
          <t>Chan, So &amp; Tsang, 2011 (HCII, LNCS 6772)</t>
        </is>
      </c>
      <c r="D31" s="11" t="inlineStr">
        <is>
          <t>V2 Glyph legibility</t>
        </is>
      </c>
      <c r="E31" s="5" t="inlineStr">
        <is>
          <t>High</t>
        </is>
      </c>
      <c r="F31" s="2" t="inlineStr">
        <is>
          <t>Central review focus: typeface and font size effects on Chinese on-screen proofreading legibility.</t>
        </is>
      </c>
    </row>
    <row r="32">
      <c r="A32" s="2" t="inlineStr">
        <is>
          <t>Proofreading</t>
        </is>
      </c>
      <c r="B32" s="2" t="inlineStr">
        <is>
          <t>Effects of Line Length, Line Spacing, and Line Number on Proofreading Performance and Scrolling of Chinese Text</t>
        </is>
      </c>
      <c r="C32" s="2" t="inlineStr">
        <is>
          <t>Chan, Tsang &amp; Ng, 2014 (Human Factors)</t>
        </is>
      </c>
      <c r="D32" s="11" t="inlineStr">
        <is>
          <t>V1 Spatial density</t>
        </is>
      </c>
      <c r="E32" s="5" t="inlineStr">
        <is>
          <t>High</t>
        </is>
      </c>
      <c r="F32" s="2" t="inlineStr">
        <is>
          <t>Central 3-factor manipulation of line length, line spacing, and line number (lines visible per screen) on Chinese on-screen proofreading.</t>
        </is>
      </c>
    </row>
    <row r="33">
      <c r="A33" s="2" t="inlineStr">
        <is>
          <t>Proofreading</t>
        </is>
      </c>
      <c r="B33" s="2" t="inlineStr">
        <is>
          <t>Effects of Line Length, Line Spacing, and Line Number on Proofreading Performance and Scrolling of Chinese Text</t>
        </is>
      </c>
      <c r="C33" s="2" t="inlineStr">
        <is>
          <t>Chan, Tsang &amp; Ng, 2014 (Human Factors)</t>
        </is>
      </c>
      <c r="D33" s="11" t="inlineStr">
        <is>
          <t>V6 Navigation structure</t>
        </is>
      </c>
      <c r="E33" s="5" t="inlineStr">
        <is>
          <t>High</t>
        </is>
      </c>
      <c r="F33" s="2" t="inlineStr">
        <is>
          <t>Scrolling amount is a key dependent variable, directly tying line settings to navigation behavior.</t>
        </is>
      </c>
    </row>
    <row r="34">
      <c r="A34" s="2" t="inlineStr">
        <is>
          <t>Proofreading</t>
        </is>
      </c>
      <c r="B34" s="2" t="inlineStr">
        <is>
          <t>Effects of Display Factors on Chinese Proofreading Performance and Preferences</t>
        </is>
      </c>
      <c r="C34" s="2" t="inlineStr">
        <is>
          <t>Chan &amp; Ng, c.2012 (manuscript)</t>
        </is>
      </c>
      <c r="D34" s="11" t="inlineStr">
        <is>
          <t>V2 Glyph legibility</t>
        </is>
      </c>
      <c r="E34" s="5" t="inlineStr">
        <is>
          <t>High</t>
        </is>
      </c>
      <c r="F34" s="2" t="inlineStr">
        <is>
          <t>Central 2x2x2x2 manipulation of typeface (Ming Liu vs Jheng Hei) and font size (10pt vs 14pt) on Chinese proofreading speed/accuracy/preference.</t>
        </is>
      </c>
    </row>
    <row r="35">
      <c r="A35" s="2" t="inlineStr">
        <is>
          <t>Proofreading</t>
        </is>
      </c>
      <c r="B35" s="2" t="inlineStr">
        <is>
          <t>Effects of Display Factors on Chinese Proofreading Performance and Preferences</t>
        </is>
      </c>
      <c r="C35" s="2" t="inlineStr">
        <is>
          <t>Chan &amp; Ng, c.2012 (manuscript)</t>
        </is>
      </c>
      <c r="D35" s="11" t="inlineStr">
        <is>
          <t>V6 Navigation structure</t>
        </is>
      </c>
      <c r="E35" s="5" t="inlineStr">
        <is>
          <t>High</t>
        </is>
      </c>
      <c r="F35" s="2" t="inlineStr">
        <is>
          <t>Text direction (horizontal vs vertical) and copy placement (left-right vs top-bottom) are core manipulated factors for comparison proofreading.</t>
        </is>
      </c>
    </row>
    <row r="36">
      <c r="A36" s="2" t="inlineStr">
        <is>
          <t>Proofreading</t>
        </is>
      </c>
      <c r="B36" s="2" t="inlineStr">
        <is>
          <t>A student guide to proofreading and writing in science</t>
        </is>
      </c>
      <c r="C36" s="2" t="inlineStr">
        <is>
          <t>Hyatt, Bienenstock &amp; Tilan, 2017</t>
        </is>
      </c>
      <c r="D36" s="11" t="inlineStr">
        <is>
          <t>L1 Lexical sophistication</t>
        </is>
      </c>
      <c r="E36" s="4" t="inlineStr">
        <is>
          <t>Medium</t>
        </is>
      </c>
      <c r="F36" s="2" t="inlineStr">
        <is>
          <t>Advises on word choice/precision as a common student writing error, addressing lexical sophistication qualitatively.</t>
        </is>
      </c>
    </row>
    <row r="37">
      <c r="A37" s="2" t="inlineStr">
        <is>
          <t>Proofreading</t>
        </is>
      </c>
      <c r="B37" s="2" t="inlineStr">
        <is>
          <t>A student guide to proofreading and writing in science</t>
        </is>
      </c>
      <c r="C37" s="2" t="inlineStr">
        <is>
          <t>Hyatt, Bienenstock &amp; Tilan, 2017</t>
        </is>
      </c>
      <c r="D37" s="11" t="inlineStr">
        <is>
          <t>L2 Syntactic complexity</t>
        </is>
      </c>
      <c r="E37" s="4" t="inlineStr">
        <is>
          <t>Medium</t>
        </is>
      </c>
      <c r="F37" s="2" t="inlineStr">
        <is>
          <t>Discusses sentence structure/clarity as common problem areas for undergraduate scientific writing.</t>
        </is>
      </c>
    </row>
    <row r="38">
      <c r="A38" s="2" t="inlineStr">
        <is>
          <t>Proofreading</t>
        </is>
      </c>
      <c r="B38" s="2" t="inlineStr">
        <is>
          <t>A student guide to proofreading and writing in science</t>
        </is>
      </c>
      <c r="C38" s="2" t="inlineStr">
        <is>
          <t>Hyatt, Bienenstock &amp; Tilan, 2017</t>
        </is>
      </c>
      <c r="D38" s="11" t="inlineStr">
        <is>
          <t>L5 Rhetorical scaffolding</t>
        </is>
      </c>
      <c r="E38" s="4" t="inlineStr">
        <is>
          <t>Medium</t>
        </is>
      </c>
      <c r="F38" s="2" t="inlineStr">
        <is>
          <t>Proposes strategies for structure/approach akin to rhetorical scaffolding guidance for students.</t>
        </is>
      </c>
    </row>
    <row r="39">
      <c r="A39" s="2" t="inlineStr">
        <is>
          <t>Proofreading</t>
        </is>
      </c>
      <c r="B39" s="2" t="inlineStr">
        <is>
          <t>An Eye Tracking Study of Line Spacing Effects on Reading Simplified Chinese</t>
        </is>
      </c>
      <c r="C39" s="2" t="inlineStr">
        <is>
          <t>Huang Dandan, 2017 (MA project, City University of Hong Kong)</t>
        </is>
      </c>
      <c r="D39" s="11" t="inlineStr">
        <is>
          <t>V1 Spatial density</t>
        </is>
      </c>
      <c r="E39" s="5" t="inlineStr">
        <is>
          <t>High</t>
        </is>
      </c>
      <c r="F39" s="2" t="inlineStr">
        <is>
          <t>Central manipulation: interlinear line spacing (7 conditions) on simplified Chinese reading, measured via eye-tracking.</t>
        </is>
      </c>
    </row>
    <row r="40">
      <c r="A40" s="2" t="inlineStr">
        <is>
          <t>Search</t>
        </is>
      </c>
      <c r="B40" s="2" t="inlineStr">
        <is>
          <t>Effects of Structure and Interaction Style on Distinct Search Tasks</t>
        </is>
      </c>
      <c r="C40" s="2" t="inlineStr">
        <is>
          <t>Capra et al., 2007</t>
        </is>
      </c>
      <c r="D40" s="11" t="inlineStr">
        <is>
          <t>V5 Layout-structure mapping</t>
        </is>
      </c>
      <c r="E40" s="5" t="inlineStr">
        <is>
          <t>High</t>
        </is>
      </c>
      <c r="F40" s="2" t="inlineStr">
        <is>
          <t>Core manipulation: information architecture (content-driven semi-hierarchical vs faceted structure) mapping data organization onto interface layout.</t>
        </is>
      </c>
    </row>
    <row r="41">
      <c r="A41" s="2" t="inlineStr">
        <is>
          <t>Search</t>
        </is>
      </c>
      <c r="B41" s="2" t="inlineStr">
        <is>
          <t>Effects of Structure and Interaction Style on Distinct Search Tasks</t>
        </is>
      </c>
      <c r="C41" s="2" t="inlineStr">
        <is>
          <t>Capra et al., 2007</t>
        </is>
      </c>
      <c r="D41" s="11" t="inlineStr">
        <is>
          <t>V6 Navigation structure</t>
        </is>
      </c>
      <c r="E41" s="5" t="inlineStr">
        <is>
          <t>High</t>
        </is>
      </c>
      <c r="F41" s="2" t="inlineStr">
        <is>
          <t>Core manipulation: interaction style (standard hypertext site, hierarchical faceted browsing, dynamic-query interface) across three navigation paradigms.</t>
        </is>
      </c>
    </row>
    <row r="42">
      <c r="A42" s="2" t="inlineStr">
        <is>
          <t>Search</t>
        </is>
      </c>
      <c r="B42" s="2" t="inlineStr">
        <is>
          <t>Effects of Structure and Interaction Style on Distinct Search Tasks</t>
        </is>
      </c>
      <c r="C42" s="2" t="inlineStr">
        <is>
          <t>Capra et al., 2007</t>
        </is>
      </c>
      <c r="D42" s="11" t="inlineStr">
        <is>
          <t>L5 Rhetorical scaffolding</t>
        </is>
      </c>
      <c r="E42" s="4" t="inlineStr">
        <is>
          <t>Medium</t>
        </is>
      </c>
      <c r="F42" s="2" t="inlineStr">
        <is>
          <t>Faceted categories function as organizational scaffolding aiding search, though not framed as textual rhetorical scaffolding.</t>
        </is>
      </c>
    </row>
    <row r="43">
      <c r="A43" s="2" t="inlineStr">
        <is>
          <t>Search</t>
        </is>
      </c>
      <c r="B43" s="2" t="inlineStr">
        <is>
          <t>Searchers' Relevance Judgments and Criteria in Evaluating Web Pages in a Learning Style Perspective</t>
        </is>
      </c>
      <c r="C43" s="2" t="inlineStr">
        <is>
          <t>Papaeconomou, Zijlema &amp; Ingwersen, 2008</t>
        </is>
      </c>
      <c r="D43" s="11" t="inlineStr">
        <is>
          <t>V3 Salience distribution</t>
        </is>
      </c>
      <c r="E43" s="4" t="inlineStr">
        <is>
          <t>Medium</t>
        </is>
      </c>
      <c r="F43" s="2" t="inlineStr">
        <is>
          <t>Eye-tracking locates relevance 'hot spots' on web pages — visual salience driving relevance judgments — but pages are naturalistic, not manipulated.</t>
        </is>
      </c>
    </row>
    <row r="44">
      <c r="A44" s="2" t="inlineStr">
        <is>
          <t>Search</t>
        </is>
      </c>
      <c r="B44" s="2" t="inlineStr">
        <is>
          <t>The effect of page layout and expectations on visual search. Do people adapt search strategy to make best use of page layout design?</t>
        </is>
      </c>
      <c r="C44" s="2" t="inlineStr">
        <is>
          <t>Tarling, 2009</t>
        </is>
      </c>
      <c r="D44" s="11" t="inlineStr">
        <is>
          <t>V1 Spatial density</t>
        </is>
      </c>
      <c r="E44" s="5" t="inlineStr">
        <is>
          <t>High</t>
        </is>
      </c>
      <c r="F44" s="2" t="inlineStr">
        <is>
          <t>Central manipulation: search-item density/spacing on the page (dense, mixed, sparse layouts).</t>
        </is>
      </c>
    </row>
    <row r="45">
      <c r="A45" s="2" t="inlineStr">
        <is>
          <t>Search</t>
        </is>
      </c>
      <c r="B45" s="2" t="inlineStr">
        <is>
          <t>The effect of page layout and expectations on visual search. Do people adapt search strategy to make best use of page layout design?</t>
        </is>
      </c>
      <c r="C45" s="2" t="inlineStr">
        <is>
          <t>Tarling, 2009</t>
        </is>
      </c>
      <c r="D45" s="11" t="inlineStr">
        <is>
          <t>V3 Salience distribution</t>
        </is>
      </c>
      <c r="E45" s="4" t="inlineStr">
        <is>
          <t>Medium</t>
        </is>
      </c>
      <c r="F45" s="2" t="inlineStr">
        <is>
          <t>Semantic grouping (items per group) tested as a salience/structure factor influencing where attention lands.</t>
        </is>
      </c>
    </row>
    <row r="46">
      <c r="A46" s="2" t="inlineStr">
        <is>
          <t>Search</t>
        </is>
      </c>
      <c r="B46" s="2" t="inlineStr">
        <is>
          <t>The effect of page layout and expectations on visual search. Do people adapt search strategy to make best use of page layout design?</t>
        </is>
      </c>
      <c r="C46" s="2" t="inlineStr">
        <is>
          <t>Tarling, 2009</t>
        </is>
      </c>
      <c r="D46" s="11" t="inlineStr">
        <is>
          <t>V5 Layout-structure mapping</t>
        </is>
      </c>
      <c r="E46" s="4" t="inlineStr">
        <is>
          <t>Medium</t>
        </is>
      </c>
      <c r="F46" s="2" t="inlineStr">
        <is>
          <t>Grouping/arrangement of list items reflects layout-structure mapping, applied to search-item lists rather than continuous prose.</t>
        </is>
      </c>
    </row>
    <row r="47">
      <c r="A47" s="2" t="inlineStr">
        <is>
          <t>Search</t>
        </is>
      </c>
      <c r="B47" s="2" t="inlineStr">
        <is>
          <t>Reading and visual search</t>
        </is>
      </c>
      <c r="C47" s="2" t="inlineStr">
        <is>
          <t>Fisher, 1975</t>
        </is>
      </c>
      <c r="D47" s="11" t="inlineStr">
        <is>
          <t>V1 Spatial density</t>
        </is>
      </c>
      <c r="E47" s="5" t="inlineStr">
        <is>
          <t>High</t>
        </is>
      </c>
      <c r="F47" s="2" t="inlineStr">
        <is>
          <t>Word-boundary/spacing (normal, filled with x's, absent) is a primary manipulated variable.</t>
        </is>
      </c>
    </row>
    <row r="48">
      <c r="A48" s="2" t="inlineStr">
        <is>
          <t>Search</t>
        </is>
      </c>
      <c r="B48" s="2" t="inlineStr">
        <is>
          <t>Reading and visual search</t>
        </is>
      </c>
      <c r="C48" s="2" t="inlineStr">
        <is>
          <t>Fisher, 1975</t>
        </is>
      </c>
      <c r="D48" s="11" t="inlineStr">
        <is>
          <t>V2 Glyph legibility</t>
        </is>
      </c>
      <c r="E48" s="5" t="inlineStr">
        <is>
          <t>High</t>
        </is>
      </c>
      <c r="F48" s="2" t="inlineStr">
        <is>
          <t>Word shape/type (normal, capitals, alternating case) is a primary manipulated variable, a classic glyph-uniformity study.</t>
        </is>
      </c>
    </row>
    <row r="49">
      <c r="A49" s="2" t="inlineStr">
        <is>
          <t>Search</t>
        </is>
      </c>
      <c r="B49" s="2" t="inlineStr">
        <is>
          <t>Information Seeking on the Web: An Integrated Model of Browsing and Searching</t>
        </is>
      </c>
      <c r="C49" s="2" t="inlineStr">
        <is>
          <t>Choo, Detlor &amp; Turnbull, 1999</t>
        </is>
      </c>
      <c r="D49" s="11" t="inlineStr">
        <is>
          <t>V6 Navigation structure</t>
        </is>
      </c>
      <c r="E49" s="5" t="inlineStr">
        <is>
          <t>High</t>
        </is>
      </c>
      <c r="F49" s="2" t="inlineStr">
        <is>
          <t>Core contribution: behavioral model of browsing/searching 'moves' (hyperlink clicking, query typing, menu/button use) captured via WebTracker logs.</t>
        </is>
      </c>
    </row>
    <row r="50">
      <c r="A50" s="2" t="inlineStr">
        <is>
          <t>Search</t>
        </is>
      </c>
      <c r="B50" s="2" t="inlineStr">
        <is>
          <t>Information-seeking behaviours and cognitive search strategies in different search tasks on the WWW</t>
        </is>
      </c>
      <c r="C50" s="2" t="inlineStr">
        <is>
          <t>Thatcher, 2006</t>
        </is>
      </c>
      <c r="D50" s="11" t="inlineStr">
        <is>
          <t>V6 Navigation structure</t>
        </is>
      </c>
      <c r="E50" s="4" t="inlineStr">
        <is>
          <t>Medium</t>
        </is>
      </c>
      <c r="F50" s="2" t="inlineStr">
        <is>
          <t>Cognitive search strategies include navigation-related moves (hyperlink following, search-engine querying) as observed behaviors, but naturalistic not manipulated.</t>
        </is>
      </c>
    </row>
    <row r="51">
      <c r="A51" s="2" t="inlineStr">
        <is>
          <t>Search</t>
        </is>
      </c>
      <c r="B51" s="2" t="inlineStr">
        <is>
          <t>Online Health Information Seeking Behaviour: Understanding Different Search Approaches</t>
        </is>
      </c>
      <c r="C51" s="2" t="inlineStr">
        <is>
          <t>Pang, Chang, Pearce &amp; Verspoor, 2014</t>
        </is>
      </c>
      <c r="D51" s="11" t="inlineStr">
        <is>
          <t>V6 Navigation structure</t>
        </is>
      </c>
      <c r="E51" s="4" t="inlineStr">
        <is>
          <t>Medium</t>
        </is>
      </c>
      <c r="F51" s="2" t="inlineStr">
        <is>
          <t>Discusses how current search-engine interfaces poorly support exploratory (vs keyword) search; qualitative/interview-based, not manipulating an interface.</t>
        </is>
      </c>
    </row>
    <row r="52">
      <c r="A52" s="2" t="inlineStr">
        <is>
          <t>Search</t>
        </is>
      </c>
      <c r="B52" s="2" t="inlineStr">
        <is>
          <t>Effects of information search tasks on the comprehension of instructional text</t>
        </is>
      </c>
      <c r="C52" s="2" t="inlineStr">
        <is>
          <t>Rouet, Vidal-Abarca, Bert Erboul &amp; Millogo, ~2001 (Discourse Processes)</t>
        </is>
      </c>
      <c r="D52" s="11" t="inlineStr">
        <is>
          <t>V5 Layout-structure mapping</t>
        </is>
      </c>
      <c r="E52" s="4" t="inlineStr">
        <is>
          <t>Medium</t>
        </is>
      </c>
      <c r="F52" s="2" t="inlineStr">
        <is>
          <t>Experiment 2's 'structured overview' (table of contents) is a presentation-format manipulation mapping document structure onto an accessible layout.</t>
        </is>
      </c>
    </row>
    <row r="53">
      <c r="A53" s="2" t="inlineStr">
        <is>
          <t>Search</t>
        </is>
      </c>
      <c r="B53" s="2" t="inlineStr">
        <is>
          <t>Effects of information search tasks on the comprehension of instructional text</t>
        </is>
      </c>
      <c r="C53" s="2" t="inlineStr">
        <is>
          <t>Rouet, Vidal-Abarca, Bert Erboul &amp; Millogo, ~2001 (Discourse Processes)</t>
        </is>
      </c>
      <c r="D53" s="11" t="inlineStr">
        <is>
          <t>L3 Cohesion</t>
        </is>
      </c>
      <c r="E53" s="5" t="inlineStr">
        <is>
          <t>High</t>
        </is>
      </c>
      <c r="F53" s="2" t="inlineStr">
        <is>
          <t>Central theoretical framework: referential/causal coherence and macrostructure (situation-model) construction; search-task type manipulated to produce review-and-integrate vs locate-and-memorize coherence strategies.</t>
        </is>
      </c>
    </row>
    <row r="54">
      <c r="A54" s="2" t="inlineStr">
        <is>
          <t>Search</t>
        </is>
      </c>
      <c r="B54" s="2" t="inlineStr">
        <is>
          <t>Effects of information search tasks on the comprehension of instructional text</t>
        </is>
      </c>
      <c r="C54" s="2" t="inlineStr">
        <is>
          <t>Rouet, Vidal-Abarca, Bert Erboul &amp; Millogo, ~2001 (Discourse Processes)</t>
        </is>
      </c>
      <c r="D54" s="11" t="inlineStr">
        <is>
          <t>L5 Rhetorical scaffolding</t>
        </is>
      </c>
      <c r="E54" s="5" t="inlineStr">
        <is>
          <t>High</t>
        </is>
      </c>
      <c r="F54" s="2" t="inlineStr">
        <is>
          <t>Central manipulation in Experiment 2: presence of a structured overview/table of contents (advance organizer) that increased pre-search study time and facilitated information localization.</t>
        </is>
      </c>
    </row>
    <row r="55">
      <c r="A55" s="2" t="inlineStr">
        <is>
          <t>Search</t>
        </is>
      </c>
      <c r="B55" s="2" t="inlineStr">
        <is>
          <t>The Effectiveness of Infographics Layout in Information Searching and Scanning: An Eye Tracking Study</t>
        </is>
      </c>
      <c r="C55" s="2" t="inlineStr">
        <is>
          <t>Liang, 2013 (MS Thesis, Penn State)</t>
        </is>
      </c>
      <c r="D55" s="11" t="inlineStr">
        <is>
          <t>V3 Salience distribution</t>
        </is>
      </c>
      <c r="E55" s="4" t="inlineStr">
        <is>
          <t>Medium</t>
        </is>
      </c>
      <c r="F55" s="2" t="inlineStr">
        <is>
          <t>Radial vs linear arrangement affects where visual salience/attention falls, especially for comparison tasks.</t>
        </is>
      </c>
    </row>
    <row r="56">
      <c r="A56" s="2" t="inlineStr">
        <is>
          <t>Search</t>
        </is>
      </c>
      <c r="B56" s="2" t="inlineStr">
        <is>
          <t>The Effectiveness of Infographics Layout in Information Searching and Scanning: An Eye Tracking Study</t>
        </is>
      </c>
      <c r="C56" s="2" t="inlineStr">
        <is>
          <t>Liang, 2013 (MS Thesis, Penn State)</t>
        </is>
      </c>
      <c r="D56" s="11" t="inlineStr">
        <is>
          <t>V5 Layout-structure mapping</t>
        </is>
      </c>
      <c r="E56" s="5" t="inlineStr">
        <is>
          <t>High</t>
        </is>
      </c>
      <c r="F56" s="2" t="inlineStr">
        <is>
          <t>Central manipulation: layout structure (linear vs radial infographic arrangement), tested across two levels of information processing.</t>
        </is>
      </c>
    </row>
    <row r="57">
      <c r="A57" s="2" t="inlineStr">
        <is>
          <t>Search</t>
        </is>
      </c>
      <c r="B57" s="2" t="inlineStr">
        <is>
          <t>The influence of target layout and target graphic type on searching performance based on eye-tracking technology</t>
        </is>
      </c>
      <c r="C57" s="2" t="inlineStr">
        <is>
          <t>Zuo, Qi, Fan, Wang, Xu, Wang, Zhang &amp; Hu, 2023</t>
        </is>
      </c>
      <c r="D57" s="11" t="inlineStr">
        <is>
          <t>V2 Glyph legibility</t>
        </is>
      </c>
      <c r="E57" s="4" t="inlineStr">
        <is>
          <t>Medium</t>
        </is>
      </c>
      <c r="F57" s="2" t="inlineStr">
        <is>
          <t>Icon graphic type (facet vs linear icon) functions like a glyph-uniformity/fluency variation for iconic symbols.</t>
        </is>
      </c>
    </row>
    <row r="58">
      <c r="A58" s="2" t="inlineStr">
        <is>
          <t>Search</t>
        </is>
      </c>
      <c r="B58" s="2" t="inlineStr">
        <is>
          <t>The influence of target layout and target graphic type on searching performance based on eye-tracking technology</t>
        </is>
      </c>
      <c r="C58" s="2" t="inlineStr">
        <is>
          <t>Zuo, Qi, Fan, Wang, Xu, Wang, Zhang &amp; Hu, 2023</t>
        </is>
      </c>
      <c r="D58" s="11" t="inlineStr">
        <is>
          <t>V3 Salience distribution</t>
        </is>
      </c>
      <c r="E58" s="5" t="inlineStr">
        <is>
          <t>High</t>
        </is>
      </c>
      <c r="F58" s="2" t="inlineStr">
        <is>
          <t>Central manipulation: target salience/location (top vs bottom half of interface) and effect on visual search performance.</t>
        </is>
      </c>
    </row>
    <row r="59">
      <c r="A59" s="2" t="inlineStr">
        <is>
          <t>Search</t>
        </is>
      </c>
      <c r="B59" s="2" t="inlineStr">
        <is>
          <t>The influence of target layout and target graphic type on searching performance based on eye-tracking technology</t>
        </is>
      </c>
      <c r="C59" s="2" t="inlineStr">
        <is>
          <t>Zuo, Qi, Fan, Wang, Xu, Wang, Zhang &amp; Hu, 2023</t>
        </is>
      </c>
      <c r="D59" s="11" t="inlineStr">
        <is>
          <t>V5 Layout-structure mapping</t>
        </is>
      </c>
      <c r="E59" s="4" t="inlineStr">
        <is>
          <t>Medium</t>
        </is>
      </c>
      <c r="F59" s="2" t="inlineStr">
        <is>
          <t>Circular vs rectangular layout methods represent different spatial arrangement schemes structuring the icon set.</t>
        </is>
      </c>
    </row>
    <row r="60">
      <c r="A60" s="2" t="inlineStr">
        <is>
          <t>Skimming</t>
        </is>
      </c>
      <c r="B60" s="2" t="inlineStr">
        <is>
          <t>Reading and skimming clinical information: insights from experiments examining medical students' eye movement behaviour</t>
        </is>
      </c>
      <c r="C60" s="2" t="inlineStr">
        <is>
          <t>Soltan et al., 2025 (BMC Medical Education)</t>
        </is>
      </c>
      <c r="D60" s="11" t="inlineStr">
        <is>
          <t>V2 Glyph legibility</t>
        </is>
      </c>
      <c r="E60" s="5" t="inlineStr">
        <is>
          <t>High</t>
        </is>
      </c>
      <c r="F60" s="2" t="inlineStr">
        <is>
          <t>Experiment 1 directly manipulates font legibility (legible vs less legible) during skim vs comprehension reading.</t>
        </is>
      </c>
    </row>
    <row r="61">
      <c r="A61" s="2" t="inlineStr">
        <is>
          <t>Skimming</t>
        </is>
      </c>
      <c r="B61" s="2" t="inlineStr">
        <is>
          <t>Legibility of Print</t>
        </is>
      </c>
      <c r="C61" s="2" t="inlineStr">
        <is>
          <t>Miles A. Tinker, 1963</t>
        </is>
      </c>
      <c r="D61" s="11" t="inlineStr">
        <is>
          <t>V1 Spatial density</t>
        </is>
      </c>
      <c r="E61" s="5" t="inlineStr">
        <is>
          <t>High</t>
        </is>
      </c>
      <c r="F61" s="2" t="inlineStr">
        <is>
          <t>Extensive coverage of line length, leading/interline spacing, margins as legibility factors.</t>
        </is>
      </c>
    </row>
    <row r="62">
      <c r="A62" s="2" t="inlineStr">
        <is>
          <t>Skimming</t>
        </is>
      </c>
      <c r="B62" s="2" t="inlineStr">
        <is>
          <t>Legibility of Print</t>
        </is>
      </c>
      <c r="C62" s="2" t="inlineStr">
        <is>
          <t>Miles A. Tinker, 1963</t>
        </is>
      </c>
      <c r="D62" s="11" t="inlineStr">
        <is>
          <t>V2 Glyph legibility</t>
        </is>
      </c>
      <c r="E62" s="5" t="inlineStr">
        <is>
          <t>High</t>
        </is>
      </c>
      <c r="F62" s="2" t="inlineStr">
        <is>
          <t>Central focus: type size, typeface, weight, case (upper/lower), boldness effects on legibility and reading speed.</t>
        </is>
      </c>
    </row>
    <row r="63">
      <c r="A63" s="2" t="inlineStr">
        <is>
          <t>Skimming</t>
        </is>
      </c>
      <c r="B63" s="2" t="inlineStr">
        <is>
          <t>Cognitive Processes in Reading Comprehension: A Theoretical Framework for Foreign Language Acquisition</t>
        </is>
      </c>
      <c r="C63" s="2" t="inlineStr">
        <is>
          <t>Marija Todorova, 2024</t>
        </is>
      </c>
      <c r="D63" s="11" t="inlineStr">
        <is>
          <t>L3 Cohesion</t>
        </is>
      </c>
      <c r="E63" s="4" t="inlineStr">
        <is>
          <t>Medium</t>
        </is>
      </c>
      <c r="F63" s="2" t="inlineStr">
        <is>
          <t>Schema theory centrally concerns building coherent macrostructure/prior-knowledge integration, closely related to cohesion.</t>
        </is>
      </c>
    </row>
    <row r="64">
      <c r="A64" s="2" t="inlineStr">
        <is>
          <t>Skimming</t>
        </is>
      </c>
      <c r="B64" s="2" t="inlineStr">
        <is>
          <t>Designing a Multi-Slate Reading Environment to Support Active Reading Activities</t>
        </is>
      </c>
      <c r="C64" s="2" t="inlineStr">
        <is>
          <t>Chen, Guimbretiere &amp; Sellen, 2012 (ACM TOCHI)</t>
        </is>
      </c>
      <c r="D64" s="11" t="inlineStr">
        <is>
          <t>V4 Temporal presentation</t>
        </is>
      </c>
      <c r="E64" s="4" t="inlineStr">
        <is>
          <t>Medium</t>
        </is>
      </c>
      <c r="F64" s="2" t="inlineStr">
        <is>
          <t>Paginated, discrete slates vs scrolling single-screen presentation.</t>
        </is>
      </c>
    </row>
    <row r="65">
      <c r="A65" s="2" t="inlineStr">
        <is>
          <t>Skimming</t>
        </is>
      </c>
      <c r="B65" s="2" t="inlineStr">
        <is>
          <t>Designing a Multi-Slate Reading Environment to Support Active Reading Activities</t>
        </is>
      </c>
      <c r="C65" s="2" t="inlineStr">
        <is>
          <t>Chen, Guimbretiere &amp; Sellen, 2012 (ACM TOCHI)</t>
        </is>
      </c>
      <c r="D65" s="11" t="inlineStr">
        <is>
          <t>V5 Layout-structure mapping</t>
        </is>
      </c>
      <c r="E65" s="4" t="inlineStr">
        <is>
          <t>Medium</t>
        </is>
      </c>
      <c r="F65" s="2" t="inlineStr">
        <is>
          <t>Mapping document sections to distinct physical slates supports fixed-location spatial memory.</t>
        </is>
      </c>
    </row>
    <row r="66">
      <c r="A66" s="2" t="inlineStr">
        <is>
          <t>Skimming</t>
        </is>
      </c>
      <c r="B66" s="2" t="inlineStr">
        <is>
          <t>Designing a Multi-Slate Reading Environment to Support Active Reading Activities</t>
        </is>
      </c>
      <c r="C66" s="2" t="inlineStr">
        <is>
          <t>Chen, Guimbretiere &amp; Sellen, 2012 (ACM TOCHI)</t>
        </is>
      </c>
      <c r="D66" s="11" t="inlineStr">
        <is>
          <t>V6 Navigation structure</t>
        </is>
      </c>
      <c r="E66" s="5" t="inlineStr">
        <is>
          <t>High</t>
        </is>
      </c>
      <c r="F66" s="2" t="inlineStr">
        <is>
          <t>Central design contribution: multi-device interconnected navigation (linking, annotation, cross-referencing).</t>
        </is>
      </c>
    </row>
    <row r="67">
      <c r="A67" s="2" t="inlineStr">
        <is>
          <t>Skimming</t>
        </is>
      </c>
      <c r="B67" s="2" t="inlineStr">
        <is>
          <t>Skim Reading: An Adaptive Strategy for Reading on the Web</t>
        </is>
      </c>
      <c r="C67" s="2" t="inlineStr">
        <is>
          <t>Fitzsimmons, Weal &amp; Drieghe, 2014 (ACM Hypertext)</t>
        </is>
      </c>
      <c r="D67" s="11" t="inlineStr">
        <is>
          <t>V3 Salience distribution</t>
        </is>
      </c>
      <c r="E67" s="5" t="inlineStr">
        <is>
          <t>High</t>
        </is>
      </c>
      <c r="F67" s="2" t="inlineStr">
        <is>
          <t>Hyperlinked words act as salience markers that guide skimming attention.</t>
        </is>
      </c>
    </row>
    <row r="68">
      <c r="A68" s="2" t="inlineStr">
        <is>
          <t>Skimming</t>
        </is>
      </c>
      <c r="B68" s="2" t="inlineStr">
        <is>
          <t>Skim Reading: An Adaptive Strategy for Reading on the Web</t>
        </is>
      </c>
      <c r="C68" s="2" t="inlineStr">
        <is>
          <t>Fitzsimmons, Weal &amp; Drieghe, 2014 (ACM Hypertext)</t>
        </is>
      </c>
      <c r="D68" s="11" t="inlineStr">
        <is>
          <t>V6 Navigation structure</t>
        </is>
      </c>
      <c r="E68" s="5" t="inlineStr">
        <is>
          <t>High</t>
        </is>
      </c>
      <c r="F68" s="2" t="inlineStr">
        <is>
          <t>Central focus: hyperlinks/web navigation structure during skim reading.</t>
        </is>
      </c>
    </row>
    <row r="69">
      <c r="A69" s="2" t="inlineStr">
        <is>
          <t>Skimming</t>
        </is>
      </c>
      <c r="B69" s="2" t="inlineStr">
        <is>
          <t>The Legibility of Serif and Sans Serif Typefaces: Reading from Paper and Reading from Screens</t>
        </is>
      </c>
      <c r="C69" s="2" t="inlineStr">
        <is>
          <t>John T. E. Richardson, 2022 (SpringerBriefs)</t>
        </is>
      </c>
      <c r="D69" s="11" t="inlineStr">
        <is>
          <t>V2 Glyph legibility</t>
        </is>
      </c>
      <c r="E69" s="5" t="inlineStr">
        <is>
          <t>High</t>
        </is>
      </c>
      <c r="F69" s="2" t="inlineStr">
        <is>
          <t>The book's entire focus: systematic review of serif vs sans serif legibility across media and reader groups.</t>
        </is>
      </c>
    </row>
    <row r="70">
      <c r="A70" s="2" t="inlineStr">
        <is>
          <t>Skimming</t>
        </is>
      </c>
      <c r="B70" s="2" t="inlineStr">
        <is>
          <t>Reading in a Second Language: Process, Product and Practice</t>
        </is>
      </c>
      <c r="C70" s="2" t="inlineStr">
        <is>
          <t>A.H. Urquhart &amp; C.J. Weir, 1998</t>
        </is>
      </c>
      <c r="D70" s="11" t="inlineStr">
        <is>
          <t>L1 Lexical sophistication</t>
        </is>
      </c>
      <c r="E70" s="4" t="inlineStr">
        <is>
          <t>Medium</t>
        </is>
      </c>
      <c r="F70" s="2" t="inlineStr">
        <is>
          <t>Vocabulary knowledge discussed extensively as a reading-model component.</t>
        </is>
      </c>
    </row>
    <row r="71">
      <c r="A71" s="2" t="inlineStr">
        <is>
          <t>Skimming</t>
        </is>
      </c>
      <c r="B71" s="2" t="inlineStr">
        <is>
          <t>Reading in a Second Language: Process, Product and Practice</t>
        </is>
      </c>
      <c r="C71" s="2" t="inlineStr">
        <is>
          <t>A.H. Urquhart &amp; C.J. Weir, 1998</t>
        </is>
      </c>
      <c r="D71" s="11" t="inlineStr">
        <is>
          <t>L2 Syntactic complexity</t>
        </is>
      </c>
      <c r="E71" s="4" t="inlineStr">
        <is>
          <t>Medium</t>
        </is>
      </c>
      <c r="F71" s="2" t="inlineStr">
        <is>
          <t>Dedicated section on grammar/syntax and reading.</t>
        </is>
      </c>
    </row>
    <row r="72">
      <c r="A72" s="2" t="inlineStr">
        <is>
          <t>Skimming</t>
        </is>
      </c>
      <c r="B72" s="2" t="inlineStr">
        <is>
          <t>Reading in a Second Language: Process, Product and Practice</t>
        </is>
      </c>
      <c r="C72" s="2" t="inlineStr">
        <is>
          <t>A.H. Urquhart &amp; C.J. Weir, 1998</t>
        </is>
      </c>
      <c r="D72" s="11" t="inlineStr">
        <is>
          <t>L3 Cohesion</t>
        </is>
      </c>
      <c r="E72" s="5" t="inlineStr">
        <is>
          <t>High</t>
        </is>
      </c>
      <c r="F72" s="2" t="inlineStr">
        <is>
          <t>Background knowledge/schema and propositional content are central to the reading models reviewed.</t>
        </is>
      </c>
    </row>
    <row r="73">
      <c r="A73" s="2" t="inlineStr">
        <is>
          <t>Skimming</t>
        </is>
      </c>
      <c r="B73" s="2" t="inlineStr">
        <is>
          <t>Reading in a Second Language: Process, Product and Practice</t>
        </is>
      </c>
      <c r="C73" s="2" t="inlineStr">
        <is>
          <t>A.H. Urquhart &amp; C.J. Weir, 1998</t>
        </is>
      </c>
      <c r="D73" s="11" t="inlineStr">
        <is>
          <t>L4 Compression</t>
        </is>
      </c>
      <c r="E73" s="4" t="inlineStr">
        <is>
          <t>Medium</t>
        </is>
      </c>
      <c r="F73" s="2" t="inlineStr">
        <is>
          <t>Discusses 'expeditious reading' (skimming/scanning) as compressed reading types.</t>
        </is>
      </c>
    </row>
    <row r="74">
      <c r="A74" s="2" t="inlineStr">
        <is>
          <t>Skimming</t>
        </is>
      </c>
      <c r="B74" s="2" t="inlineStr">
        <is>
          <t>An Eye Tracking Study of How Font Size and Type Influence Online Reading</t>
        </is>
      </c>
      <c r="C74" s="2" t="inlineStr">
        <is>
          <t>Beymer, Russell &amp; Orton, 2008 (CHI)</t>
        </is>
      </c>
      <c r="D74" s="11" t="inlineStr">
        <is>
          <t>V2 Glyph legibility</t>
        </is>
      </c>
      <c r="E74" s="5" t="inlineStr">
        <is>
          <t>High</t>
        </is>
      </c>
      <c r="F74" s="2" t="inlineStr">
        <is>
          <t>Central manipulation: font size (multiple point sizes) and font type (serif/sans serif) on screen.</t>
        </is>
      </c>
    </row>
    <row r="75">
      <c r="A75" s="2" t="inlineStr">
        <is>
          <t>Skimming</t>
        </is>
      </c>
      <c r="B75" s="2" t="inlineStr">
        <is>
          <t>Reading from paper compared to screens: A systematic review and meta-analysis</t>
        </is>
      </c>
      <c r="C75" s="2" t="inlineStr">
        <is>
          <t>Virginia Clinton, 2019</t>
        </is>
      </c>
      <c r="D75" s="11" t="inlineStr">
        <is>
          <t>V4 Temporal presentation</t>
        </is>
      </c>
      <c r="E75" s="5" t="inlineStr">
        <is>
          <t>High</t>
        </is>
      </c>
      <c r="F75" s="2" t="inlineStr">
        <is>
          <t>Central focus: paper vs screen medium as a technological/temporal presentation dimension.</t>
        </is>
      </c>
    </row>
    <row r="76">
      <c r="A76" s="2" t="inlineStr">
        <is>
          <t>Skimming</t>
        </is>
      </c>
      <c r="B76" s="2" t="inlineStr">
        <is>
          <t>Reading from paper compared to screens: A systematic review and meta-analysis</t>
        </is>
      </c>
      <c r="C76" s="2" t="inlineStr">
        <is>
          <t>Virginia Clinton, 2019</t>
        </is>
      </c>
      <c r="D76" s="11" t="inlineStr">
        <is>
          <t>L6 Narrativity/genre</t>
        </is>
      </c>
      <c r="E76" s="4" t="inlineStr">
        <is>
          <t>Medium</t>
        </is>
      </c>
      <c r="F76" s="2" t="inlineStr">
        <is>
          <t>Moderator analysis found genre (expository vs narrative) moderates the paper/screen effect.</t>
        </is>
      </c>
    </row>
    <row r="77">
      <c r="A77" s="2" t="inlineStr">
        <is>
          <t>Skimming</t>
        </is>
      </c>
      <c r="B77" s="2" t="inlineStr">
        <is>
          <t>Text Skimming: The Process and Effectiveness of Foraging Through Text under Time Pressure</t>
        </is>
      </c>
      <c r="C77" s="2" t="inlineStr">
        <is>
          <t>Duggan &amp; Payne, 2009 (JEPA)</t>
        </is>
      </c>
      <c r="D77" s="11" t="inlineStr">
        <is>
          <t>V6 Navigation structure</t>
        </is>
      </c>
      <c r="E77" s="5" t="inlineStr">
        <is>
          <t>High</t>
        </is>
      </c>
      <c r="F77" s="2" t="inlineStr">
        <is>
          <t>Experiments 3-4 directly manipulate hierarchical, website-like linked-page layout vs non-linked text to test navigation's role.</t>
        </is>
      </c>
    </row>
    <row r="78">
      <c r="A78" s="2" t="inlineStr">
        <is>
          <t>Skimming</t>
        </is>
      </c>
      <c r="B78" s="2" t="inlineStr">
        <is>
          <t>The Effects of Font Disfluency on Information Retention and Reading Speed of High School Students in Online Learning</t>
        </is>
      </c>
      <c r="C78" s="2" t="inlineStr">
        <is>
          <t>Unspecified student research paper, n.d.</t>
        </is>
      </c>
      <c r="D78" s="11" t="inlineStr">
        <is>
          <t>V2 Glyph legibility</t>
        </is>
      </c>
      <c r="E78" s="5" t="inlineStr">
        <is>
          <t>High</t>
        </is>
      </c>
      <c r="F78" s="2" t="inlineStr">
        <is>
          <t>Central manipulation: three fonts of increasing disfluency (Times New Roman, Corsiva, Aquafina).</t>
        </is>
      </c>
    </row>
    <row r="79">
      <c r="A79" s="2" t="inlineStr">
        <is>
          <t>Skimming</t>
        </is>
      </c>
      <c r="B79" s="2" t="inlineStr">
        <is>
          <t>Functional Headings' Effects on Selective Attention and Reading Processes</t>
        </is>
      </c>
      <c r="C79" s="2" t="inlineStr">
        <is>
          <t>Unspecified (extends Lemarié/Lorch SARA theory), n.d.</t>
        </is>
      </c>
      <c r="D79" s="11" t="inlineStr">
        <is>
          <t>V3 Salience distribution</t>
        </is>
      </c>
      <c r="E79" s="4" t="inlineStr">
        <is>
          <t>Medium</t>
        </is>
      </c>
      <c r="F79" s="2" t="inlineStr">
        <is>
          <t>Signal 'realization' via visual contrast (bold, position).</t>
        </is>
      </c>
    </row>
    <row r="80">
      <c r="A80" s="2" t="inlineStr">
        <is>
          <t>Skimming</t>
        </is>
      </c>
      <c r="B80" s="2" t="inlineStr">
        <is>
          <t>Functional Headings' Effects on Selective Attention and Reading Processes</t>
        </is>
      </c>
      <c r="C80" s="2" t="inlineStr">
        <is>
          <t>Unspecified (extends Lemarié/Lorch SARA theory), n.d.</t>
        </is>
      </c>
      <c r="D80" s="11" t="inlineStr">
        <is>
          <t>V5 Layout-structure mapping</t>
        </is>
      </c>
      <c r="E80" s="5" t="inlineStr">
        <is>
          <t>High</t>
        </is>
      </c>
      <c r="F80" s="2" t="inlineStr">
        <is>
          <t>Central: headings as layout-structure-to-rhetorical-structure mapping (demarcation, hierarchy).</t>
        </is>
      </c>
    </row>
    <row r="81">
      <c r="A81" s="2" t="inlineStr">
        <is>
          <t>Skimming</t>
        </is>
      </c>
      <c r="B81" s="2" t="inlineStr">
        <is>
          <t>Functional Headings' Effects on Selective Attention and Reading Processes</t>
        </is>
      </c>
      <c r="C81" s="2" t="inlineStr">
        <is>
          <t>Unspecified (extends Lemarié/Lorch SARA theory), n.d.</t>
        </is>
      </c>
      <c r="D81" s="11" t="inlineStr">
        <is>
          <t>L5 Rhetorical scaffolding</t>
        </is>
      </c>
      <c r="E81" s="5" t="inlineStr">
        <is>
          <t>High</t>
        </is>
      </c>
      <c r="F81" s="2" t="inlineStr">
        <is>
          <t>Central focus: functional headings (rhetorical scaffolding) and effects on selective attention, extending SARA signaling theory.</t>
        </is>
      </c>
    </row>
    <row r="82">
      <c r="A82" s="2" t="inlineStr">
        <is>
          <t>Skimming</t>
        </is>
      </c>
      <c r="B82" s="2" t="inlineStr">
        <is>
          <t>Sans Forgetica: Font Readability Experimental Design</t>
        </is>
      </c>
      <c r="C82" s="2" t="inlineStr">
        <is>
          <t>Robert Dykes, 2020</t>
        </is>
      </c>
      <c r="D82" s="11" t="inlineStr">
        <is>
          <t>V2 Glyph legibility</t>
        </is>
      </c>
      <c r="E82" s="5" t="inlineStr">
        <is>
          <t>High</t>
        </is>
      </c>
      <c r="F82" s="2" t="inlineStr">
        <is>
          <t>Central: Sans Forgetica (disfluent) vs Arial font, proposed eye-tracking/readability study design.</t>
        </is>
      </c>
    </row>
    <row r="83">
      <c r="A83" s="2" t="inlineStr">
        <is>
          <t>Skimming</t>
        </is>
      </c>
      <c r="B83" s="2" t="inlineStr">
        <is>
          <t>Individual Differences in Reading to Summarize Expository Text: Evidence From Eye Fixation Patterns</t>
        </is>
      </c>
      <c r="C83" s="2" t="inlineStr">
        <is>
          <t>Hyönä, Lorch &amp; Kaakinen, 2002 (J. Educational Psychology)</t>
        </is>
      </c>
      <c r="D83" s="11" t="inlineStr">
        <is>
          <t>L4 Compression</t>
        </is>
      </c>
      <c r="E83" s="4" t="inlineStr">
        <is>
          <t>Medium</t>
        </is>
      </c>
      <c r="F83" s="2" t="inlineStr">
        <is>
          <t>Task requires producing summaries (compression); summary quality is an outcome measure.</t>
        </is>
      </c>
    </row>
    <row r="84">
      <c r="A84" s="2" t="inlineStr">
        <is>
          <t>Skimming</t>
        </is>
      </c>
      <c r="B84" s="2" t="inlineStr">
        <is>
          <t>Individual Differences in Reading to Summarize Expository Text: Evidence From Eye Fixation Patterns</t>
        </is>
      </c>
      <c r="C84" s="2" t="inlineStr">
        <is>
          <t>Hyönä, Lorch &amp; Kaakinen, 2002 (J. Educational Psychology)</t>
        </is>
      </c>
      <c r="D84" s="11" t="inlineStr">
        <is>
          <t>L5 Rhetorical scaffolding</t>
        </is>
      </c>
      <c r="E84" s="4" t="inlineStr">
        <is>
          <t>Medium</t>
        </is>
      </c>
      <c r="F84" s="2" t="inlineStr">
        <is>
          <t>One reader cluster ('topic structure processors') specifically attends closely to headings.</t>
        </is>
      </c>
    </row>
    <row r="85">
      <c r="A85" s="2" t="inlineStr">
        <is>
          <t>Skimming</t>
        </is>
      </c>
      <c r="B85" s="2" t="inlineStr">
        <is>
          <t>Knowledge construction in typography: the case of legibility research and the legibility of sans serif typefaces</t>
        </is>
      </c>
      <c r="C85" s="2" t="inlineStr">
        <is>
          <t>Ole Lund, 1999 (PhD thesis, Univ. of Reading)</t>
        </is>
      </c>
      <c r="D85" s="11" t="inlineStr">
        <is>
          <t>V2 Glyph legibility</t>
        </is>
      </c>
      <c r="E85" s="5" t="inlineStr">
        <is>
          <t>High</t>
        </is>
      </c>
      <c r="F85" s="2" t="inlineStr">
        <is>
          <t>Central: historiographic/epistemological review and methodological critique of 28 typeface (serif/sans serif) legibility studies (1896-1997).</t>
        </is>
      </c>
    </row>
    <row r="86">
      <c r="A86" s="2" t="inlineStr">
        <is>
          <t>Skimming</t>
        </is>
      </c>
      <c r="B86" s="2" t="inlineStr">
        <is>
          <t>Scrolling and pagination for within document searching: The impact of screen size and interaction style</t>
        </is>
      </c>
      <c r="C86" s="2" t="inlineStr">
        <is>
          <t>Marcial &amp; Hemminger, 2012 (ASIST)</t>
        </is>
      </c>
      <c r="D86" s="11" t="inlineStr">
        <is>
          <t>V4 Temporal presentation</t>
        </is>
      </c>
      <c r="E86" s="4" t="inlineStr">
        <is>
          <t>Medium</t>
        </is>
      </c>
      <c r="F86" s="2" t="inlineStr">
        <is>
          <t>Scrolling vs pagination differ in continuous vs discrete temporal presentation.</t>
        </is>
      </c>
    </row>
    <row r="87">
      <c r="A87" s="2" t="inlineStr">
        <is>
          <t>Skimming</t>
        </is>
      </c>
      <c r="B87" s="2" t="inlineStr">
        <is>
          <t>Scrolling and pagination for within document searching: The impact of screen size and interaction style</t>
        </is>
      </c>
      <c r="C87" s="2" t="inlineStr">
        <is>
          <t>Marcial &amp; Hemminger, 2012 (ASIST)</t>
        </is>
      </c>
      <c r="D87" s="11" t="inlineStr">
        <is>
          <t>V6 Navigation structure</t>
        </is>
      </c>
      <c r="E87" s="5" t="inlineStr">
        <is>
          <t>High</t>
        </is>
      </c>
      <c r="F87" s="2" t="inlineStr">
        <is>
          <t>Central manipulation: scrolling vs pagination interaction style for within-document search.</t>
        </is>
      </c>
    </row>
    <row r="88">
      <c r="A88" s="2" t="inlineStr">
        <is>
          <t>Skimming</t>
        </is>
      </c>
      <c r="B88" s="2" t="inlineStr">
        <is>
          <t>Reading Speed and Comprehension Enhancement in Hybrid Learning Delivery Mode</t>
        </is>
      </c>
      <c r="C88" s="2" t="inlineStr">
        <is>
          <t>Muhaimin Abdullah, 2018 (Advances in Language and Literary Studies)</t>
        </is>
      </c>
      <c r="D88" s="11" t="inlineStr">
        <is>
          <t>V4 Temporal presentation</t>
        </is>
      </c>
      <c r="E88" s="4" t="inlineStr">
        <is>
          <t>Medium</t>
        </is>
      </c>
      <c r="F88" s="2" t="inlineStr">
        <is>
          <t>Compares web-based hybrid delivery vs face-to-face paper-based reading delivery.</t>
        </is>
      </c>
    </row>
    <row r="89">
      <c r="A89" s="2" t="inlineStr">
        <is>
          <t>Skimming</t>
        </is>
      </c>
      <c r="B89" s="2" t="inlineStr">
        <is>
          <t>The effects of reading speed and reading patterns on the understanding of text read from screen</t>
        </is>
      </c>
      <c r="C89" s="2" t="inlineStr">
        <is>
          <t>Dyson &amp; Haselgrove, 2000 (J. Research in Reading)</t>
        </is>
      </c>
      <c r="D89" s="11" t="inlineStr">
        <is>
          <t>V4 Temporal presentation</t>
        </is>
      </c>
      <c r="E89" s="4" t="inlineStr">
        <is>
          <t>Medium</t>
        </is>
      </c>
      <c r="F89" s="2" t="inlineStr">
        <is>
          <t>Reading speed instruction (normal vs fast) represents an externally-imposed pace/goal.</t>
        </is>
      </c>
    </row>
    <row r="90">
      <c r="A90" s="2" t="inlineStr">
        <is>
          <t>Skimming</t>
        </is>
      </c>
      <c r="B90" s="2" t="inlineStr">
        <is>
          <t>The effects of reading speed and reading patterns on the understanding of text read from screen</t>
        </is>
      </c>
      <c r="C90" s="2" t="inlineStr">
        <is>
          <t>Dyson &amp; Haselgrove, 2000 (J. Research in Reading)</t>
        </is>
      </c>
      <c r="D90" s="11" t="inlineStr">
        <is>
          <t>V6 Navigation structure</t>
        </is>
      </c>
      <c r="E90" s="5" t="inlineStr">
        <is>
          <t>High</t>
        </is>
      </c>
      <c r="F90" s="2" t="inlineStr">
        <is>
          <t>Central analysis of scrolling movement patterns (pausing, frequency) in relation to comprehension.</t>
        </is>
      </c>
    </row>
    <row r="91">
      <c r="A91" s="2" t="inlineStr">
        <is>
          <t>Skimming</t>
        </is>
      </c>
      <c r="B91" s="2" t="inlineStr">
        <is>
          <t>Understanding How Headings Influence Text Processing</t>
        </is>
      </c>
      <c r="C91" s="2" t="inlineStr">
        <is>
          <t>Lemarié, Lorch &amp; Péry-Woodley, 2012 (Discours)</t>
        </is>
      </c>
      <c r="D91" s="11" t="inlineStr">
        <is>
          <t>V3 Salience distribution</t>
        </is>
      </c>
      <c r="E91" s="4" t="inlineStr">
        <is>
          <t>Medium</t>
        </is>
      </c>
      <c r="F91" s="2" t="inlineStr">
        <is>
          <t>Signal 'realization' = how visual/linguistic emphasis is allocated.</t>
        </is>
      </c>
    </row>
    <row r="92">
      <c r="A92" s="2" t="inlineStr">
        <is>
          <t>Skimming</t>
        </is>
      </c>
      <c r="B92" s="2" t="inlineStr">
        <is>
          <t>Understanding How Headings Influence Text Processing</t>
        </is>
      </c>
      <c r="C92" s="2" t="inlineStr">
        <is>
          <t>Lemarié, Lorch &amp; Péry-Woodley, 2012 (Discours)</t>
        </is>
      </c>
      <c r="D92" s="11" t="inlineStr">
        <is>
          <t>V5 Layout-structure mapping</t>
        </is>
      </c>
      <c r="E92" s="5" t="inlineStr">
        <is>
          <t>High</t>
        </is>
      </c>
      <c r="F92" s="2" t="inlineStr">
        <is>
          <t>Central theoretical contribution: linguistic analysis of how headings/titles map onto text organization.</t>
        </is>
      </c>
    </row>
    <row r="93">
      <c r="A93" s="2" t="inlineStr">
        <is>
          <t>Skimming</t>
        </is>
      </c>
      <c r="B93" s="2" t="inlineStr">
        <is>
          <t>Understanding How Headings Influence Text Processing</t>
        </is>
      </c>
      <c r="C93" s="2" t="inlineStr">
        <is>
          <t>Lemarié, Lorch &amp; Péry-Woodley, 2012 (Discours)</t>
        </is>
      </c>
      <c r="D93" s="11" t="inlineStr">
        <is>
          <t>L5 Rhetorical scaffolding</t>
        </is>
      </c>
      <c r="E93" s="5" t="inlineStr">
        <is>
          <t>High</t>
        </is>
      </c>
      <c r="F93" s="2" t="inlineStr">
        <is>
          <t>Central focus: theory of heading/title signaling devices and effects on comprehension, memory for organization, topic bias.</t>
        </is>
      </c>
    </row>
    <row r="94">
      <c r="A94" s="2" t="inlineStr">
        <is>
          <t>Skimming</t>
        </is>
      </c>
      <c r="B94" s="2" t="inlineStr">
        <is>
          <t>The Implementation of Skimming and Scanning Strategies in Teaching Reading Narrative Text to the Tenth Grade Students of SMAN 21 Surabaya</t>
        </is>
      </c>
      <c r="C94" s="2" t="inlineStr">
        <is>
          <t>Tamsi, Zuhri &amp; Kurniasih, n.d.</t>
        </is>
      </c>
      <c r="D94" s="11" t="inlineStr">
        <is>
          <t>L6 Narrativity/genre</t>
        </is>
      </c>
      <c r="E94" s="4" t="inlineStr">
        <is>
          <t>Medium</t>
        </is>
      </c>
      <c r="F94" s="2" t="inlineStr">
        <is>
          <t>Study specifically situates strategy teaching within narrative text genre.</t>
        </is>
      </c>
    </row>
    <row r="95">
      <c r="A95" s="2" t="inlineStr">
        <is>
          <t>Skimming</t>
        </is>
      </c>
      <c r="B95" s="2" t="inlineStr">
        <is>
          <t>Fortune Favors the Bold (and the Italicized): Effects of Disfluency on Educational Outcomes</t>
        </is>
      </c>
      <c r="C95" s="2" t="inlineStr">
        <is>
          <t>Oppenheimer, Diemand-Yauman &amp; Vaughan, 2010 (Proc. Cognitive Science Society)</t>
        </is>
      </c>
      <c r="D95" s="11" t="inlineStr">
        <is>
          <t>V2 Glyph legibility</t>
        </is>
      </c>
      <c r="E95" s="5" t="inlineStr">
        <is>
          <t>High</t>
        </is>
      </c>
      <c r="F95" s="2" t="inlineStr">
        <is>
          <t>Central manipulation: perceptual fluency of font (harder-to-read fonts) in lab and real classroom settings.</t>
        </is>
      </c>
    </row>
    <row r="96">
      <c r="A96" s="2" t="inlineStr">
        <is>
          <t>Skimming</t>
        </is>
      </c>
      <c r="B96" s="2" t="inlineStr">
        <is>
          <t>The influence of reading speed and line length on the effectiveness of reading from screen</t>
        </is>
      </c>
      <c r="C96" s="2" t="inlineStr">
        <is>
          <t>Dyson &amp; Haselgrove, 2001 (Int. J. Human-Computer Studies)</t>
        </is>
      </c>
      <c r="D96" s="11" t="inlineStr">
        <is>
          <t>V1 Spatial density</t>
        </is>
      </c>
      <c r="E96" s="5" t="inlineStr">
        <is>
          <t>High</t>
        </is>
      </c>
      <c r="F96" s="2" t="inlineStr">
        <is>
          <t>Central manipulation: line length (e.g., 55 characters/line as optimal) on screen.</t>
        </is>
      </c>
    </row>
    <row r="97">
      <c r="A97" s="2" t="inlineStr">
        <is>
          <t>Skimming</t>
        </is>
      </c>
      <c r="B97" s="2" t="inlineStr">
        <is>
          <t>The influence of reading speed and line length on the effectiveness of reading from screen</t>
        </is>
      </c>
      <c r="C97" s="2" t="inlineStr">
        <is>
          <t>Dyson &amp; Haselgrove, 2001 (Int. J. Human-Computer Studies)</t>
        </is>
      </c>
      <c r="D97" s="11" t="inlineStr">
        <is>
          <t>V4 Temporal presentation</t>
        </is>
      </c>
      <c r="E97" s="4" t="inlineStr">
        <is>
          <t>Medium</t>
        </is>
      </c>
      <c r="F97" s="2" t="inlineStr">
        <is>
          <t>Reading speed (normal vs fast) manipulated as external pacing goal.</t>
        </is>
      </c>
    </row>
    <row r="98">
      <c r="A98" s="2" t="inlineStr">
        <is>
          <t>Skimming</t>
        </is>
      </c>
      <c r="B98" s="2" t="inlineStr">
        <is>
          <t>The influence of reading speed and line length on the effectiveness of reading from screen</t>
        </is>
      </c>
      <c r="C98" s="2" t="inlineStr">
        <is>
          <t>Dyson &amp; Haselgrove, 2001 (Int. J. Human-Computer Studies)</t>
        </is>
      </c>
      <c r="D98" s="11" t="inlineStr">
        <is>
          <t>V6 Navigation structure</t>
        </is>
      </c>
      <c r="E98" s="4" t="inlineStr">
        <is>
          <t>Medium</t>
        </is>
      </c>
      <c r="F98" s="2" t="inlineStr">
        <is>
          <t>Scrolling pattern analysis as an outcome measure.</t>
        </is>
      </c>
    </row>
    <row r="99">
      <c r="A99" s="2" t="inlineStr">
        <is>
          <t>Skimming</t>
        </is>
      </c>
      <c r="B99" s="2" t="inlineStr">
        <is>
          <t>Introduction to Multimedia Learning (ch.1, Cambridge Handbook of Multimedia Learning, 3rd ed.)</t>
        </is>
      </c>
      <c r="C99" s="2" t="inlineStr">
        <is>
          <t>Richard E. Mayer &amp; Logan Fiorella, 2021/2022</t>
        </is>
      </c>
      <c r="D99" s="11" t="inlineStr">
        <is>
          <t>V3 Salience distribution</t>
        </is>
      </c>
      <c r="E99" s="4" t="inlineStr">
        <is>
          <t>Medium</t>
        </is>
      </c>
      <c r="F99" s="2" t="inlineStr">
        <is>
          <t>Handbook framework includes the signaling principle (visual emphasis guiding attention), discussed at overview level.</t>
        </is>
      </c>
    </row>
    <row r="100">
      <c r="A100" s="2" t="inlineStr">
        <is>
          <t>Skimming</t>
        </is>
      </c>
      <c r="B100" s="2" t="inlineStr">
        <is>
          <t>Introduction to Multimedia Learning (ch.1, Cambridge Handbook of Multimedia Learning, 3rd ed.)</t>
        </is>
      </c>
      <c r="C100" s="2" t="inlineStr">
        <is>
          <t>Richard E. Mayer &amp; Logan Fiorella, 2021/2022</t>
        </is>
      </c>
      <c r="D100" s="11" t="inlineStr">
        <is>
          <t>V5 Layout-structure mapping</t>
        </is>
      </c>
      <c r="E100" s="4" t="inlineStr">
        <is>
          <t>Medium</t>
        </is>
      </c>
      <c r="F100" s="2" t="inlineStr">
        <is>
          <t>Spatial/temporal contiguity principles (words and pictures placed near each other) are core design principles referenced.</t>
        </is>
      </c>
    </row>
    <row r="101">
      <c r="A101" s="2" t="inlineStr">
        <is>
          <t>Skimming</t>
        </is>
      </c>
      <c r="B101" s="2" t="inlineStr">
        <is>
          <t>The inattentive on-screen reading: Reading medium affects attention and reading comprehension under time pressure</t>
        </is>
      </c>
      <c r="C101" s="2" t="inlineStr">
        <is>
          <t>Delgado &amp; Salmerón, 2021 (Learning and Instruction)</t>
        </is>
      </c>
      <c r="D101" s="11" t="inlineStr">
        <is>
          <t>V4 Temporal presentation</t>
        </is>
      </c>
      <c r="E101" s="4" t="inlineStr">
        <is>
          <t>Medium</t>
        </is>
      </c>
      <c r="F101" s="2" t="inlineStr">
        <is>
          <t>Screen vs print differ in presentation/attention-sustaining properties.</t>
        </is>
      </c>
    </row>
    <row r="102">
      <c r="A102" s="2" t="inlineStr">
        <is>
          <t>Skimming</t>
        </is>
      </c>
      <c r="B102" s="2" t="inlineStr">
        <is>
          <t>A Synthesis of Reading Interventions and Effects on Reading Comprehension Outcomes for Older Struggling Readers</t>
        </is>
      </c>
      <c r="C102" s="2" t="inlineStr">
        <is>
          <t>Edmonds et al., 2009 (Review of Educational Research)</t>
        </is>
      </c>
      <c r="D102" s="11" t="inlineStr">
        <is>
          <t>L1 Lexical sophistication</t>
        </is>
      </c>
      <c r="E102" s="4" t="inlineStr">
        <is>
          <t>Medium</t>
        </is>
      </c>
      <c r="F102" s="2" t="inlineStr">
        <is>
          <t>Vocabulary interventions are one of the intervention categories synthesized.</t>
        </is>
      </c>
    </row>
    <row r="103">
      <c r="A103" s="2" t="inlineStr">
        <is>
          <t>Skimming</t>
        </is>
      </c>
      <c r="B103" s="2" t="inlineStr">
        <is>
          <t>A Synthesis of Reading Interventions and Effects on Reading Comprehension Outcomes for Older Struggling Readers</t>
        </is>
      </c>
      <c r="C103" s="2" t="inlineStr">
        <is>
          <t>Edmonds et al., 2009 (Review of Educational Research)</t>
        </is>
      </c>
      <c r="D103" s="11" t="inlineStr">
        <is>
          <t>L3 Cohesion</t>
        </is>
      </c>
      <c r="E103" s="4" t="inlineStr">
        <is>
          <t>Medium</t>
        </is>
      </c>
      <c r="F103" s="2" t="inlineStr">
        <is>
          <t>Comprehension strategy instruction (summarization, question generation) typically targets cohesion/inference-building.</t>
        </is>
      </c>
    </row>
    <row r="104">
      <c r="A104" s="2" t="inlineStr">
        <is>
          <t>Skimming</t>
        </is>
      </c>
      <c r="B104" s="2" t="inlineStr">
        <is>
          <t>The Elements of Typographic Style (2nd edition)</t>
        </is>
      </c>
      <c r="C104" s="2" t="inlineStr">
        <is>
          <t>Robert Bringhurst, 1996/1997</t>
        </is>
      </c>
      <c r="D104" s="11" t="inlineStr">
        <is>
          <t>V1 Spatial density</t>
        </is>
      </c>
      <c r="E104" s="5" t="inlineStr">
        <is>
          <t>High</t>
        </is>
      </c>
      <c r="F104" s="2" t="inlineStr">
        <is>
          <t>Canonical reference on spacing, leading, margins, line length, kerning.</t>
        </is>
      </c>
    </row>
    <row r="105">
      <c r="A105" s="2" t="inlineStr">
        <is>
          <t>Skimming</t>
        </is>
      </c>
      <c r="B105" s="2" t="inlineStr">
        <is>
          <t>The Elements of Typographic Style (2nd edition)</t>
        </is>
      </c>
      <c r="C105" s="2" t="inlineStr">
        <is>
          <t>Robert Bringhurst, 1996/1997</t>
        </is>
      </c>
      <c r="D105" s="11" t="inlineStr">
        <is>
          <t>V2 Glyph legibility</t>
        </is>
      </c>
      <c r="E105" s="5" t="inlineStr">
        <is>
          <t>High</t>
        </is>
      </c>
      <c r="F105" s="2" t="inlineStr">
        <is>
          <t>Extensive treatment of typeface choice, size, weight as craft guidance.</t>
        </is>
      </c>
    </row>
    <row r="106">
      <c r="A106" s="2" t="inlineStr">
        <is>
          <t>Skimming</t>
        </is>
      </c>
      <c r="B106" s="2" t="inlineStr">
        <is>
          <t>The Elements of Typographic Style (2nd edition)</t>
        </is>
      </c>
      <c r="C106" s="2" t="inlineStr">
        <is>
          <t>Robert Bringhurst, 1996/1997</t>
        </is>
      </c>
      <c r="D106" s="11" t="inlineStr">
        <is>
          <t>V3 Salience distribution</t>
        </is>
      </c>
      <c r="E106" s="4" t="inlineStr">
        <is>
          <t>Medium</t>
        </is>
      </c>
      <c r="F106" s="2" t="inlineStr">
        <is>
          <t>Discusses hierarchy/emphasis conventions (italics, small caps) as design choices.</t>
        </is>
      </c>
    </row>
  </sheetData>
  <autoFilter ref="A1:F106"/>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12"/>
  <sheetViews>
    <sheetView workbookViewId="0">
      <pane ySplit="1" topLeftCell="A2" activePane="bottomLeft" state="frozen"/>
      <selection pane="bottomLeft" activeCell="A1" sqref="A1"/>
    </sheetView>
  </sheetViews>
  <sheetFormatPr baseColWidth="8" defaultRowHeight="15"/>
  <cols>
    <col width="26" customWidth="1" min="1" max="1"/>
    <col width="46" customWidth="1" min="2" max="2"/>
    <col width="46" customWidth="1" min="3" max="3"/>
    <col width="50" customWidth="1" min="4" max="4"/>
  </cols>
  <sheetData>
    <row r="1" ht="30" customHeight="1">
      <c r="A1" s="1" t="inlineStr">
        <is>
          <t>Gap Category</t>
        </is>
      </c>
      <c r="B1" s="1" t="inlineStr">
        <is>
          <t>What's Missing From the Corpus</t>
        </is>
      </c>
      <c r="C1" s="1" t="inlineStr">
        <is>
          <t>Evidence (Coverage Summary + Qualitative Pattern)</t>
        </is>
      </c>
      <c r="D1" s="1" t="inlineStr">
        <is>
          <t>Suggested Innovation to Strengthen Readability</t>
        </is>
      </c>
    </row>
    <row r="2" ht="90" customHeight="1">
      <c r="A2" s="2" t="inlineStr">
        <is>
          <t>L2 — Syntactic complexity never manipulated</t>
        </is>
      </c>
      <c r="B2" s="2" t="inlineStr">
        <is>
          <t>No paper in the 63-paper corpus experimentally varies sentence embedding, length, or voice and measures a readability outcome. L2 is only discussed theoretically (schema/cognitive-load reviews) or as pedagogical advice.</t>
        </is>
      </c>
      <c r="C2" s="2" t="inlineStr">
        <is>
          <t>0 of 63 papers rate 'High' on L2; only 5 papers (7.9%) touch it at all, and all at Low/Medium as a side theoretical point (e.g., Todorova 2024, Urquhart &amp; Weir 1998, Hyatt et al. 2017).</t>
        </is>
      </c>
      <c r="D2" s="2" t="inlineStr">
        <is>
          <t>Run a controlled study recasting the same passage at 2-3 syntactic complexity levels (simple vs embedded clauses, active vs passive) crossed with a visual axis (e.g., V1 spacing or V5 chunking) to isolate L2's independent contribution to speed/comprehension.</t>
        </is>
      </c>
    </row>
    <row r="3" ht="90" customHeight="1">
      <c r="A3" s="2" t="inlineStr">
        <is>
          <t>L4 — Compression continuum never used as an independent variable</t>
        </is>
      </c>
      <c r="B3" s="2" t="inlineStr">
        <is>
          <t>Full text -&gt; summary -&gt; TL;DR -&gt; headline is central to the model's L4 axis, but across the corpus compression only ever appears as an *outcome* (participants asked to write a summary), never as a *manipulated* text-form condition compared against fuller versions of the same content.</t>
        </is>
      </c>
      <c r="C3" s="2" t="inlineStr">
        <is>
          <t>0 of 63 papers rate 'High' on L4; only 5 papers (7.9%) touch it, all via summary-writing tasks (e.g., Hyönä, Lorch &amp; Kaakinen 2002; Rouet et al. ~2001) rather than compression-as-IV.</t>
        </is>
      </c>
      <c r="D3" s="2" t="inlineStr">
        <is>
          <t>A within-subject study presenting the same source content at 3-4 compression levels (full/summary/TL;DR/headline) and measuring comprehension, retention, and time-to-decision would let L4 join L1/L2/L5 as an empirically grounded lever, and could be crossed with reading goal (skim vs deep) to test the Rouet/Choo goal continuum directly.</t>
        </is>
      </c>
    </row>
    <row r="4" ht="90" customHeight="1">
      <c r="A4" s="2" t="inlineStr">
        <is>
          <t>V4 — True externally-paced (RSVP) presentation is absent</t>
        </is>
      </c>
      <c r="B4" s="2" t="inlineStr">
        <is>
          <t>The model's V4 axis explicitly includes 'externally paced delivery, and the pacing unit (word, phrase)' as distinct from scrolling vs pagination. Every paper coded under V4 in this corpus is actually about screen-vs-paper medium or reader-controlled reading speed instructions (normal vs fast) — none test RSVP/word-by-word or phrase-paced delivery.</t>
        </is>
      </c>
      <c r="C4" s="2" t="inlineStr">
        <is>
          <t>13 of 63 papers (20.6%) touch V4, but a manual check shows all are medium (paper/screen) or self-paced-speed studies (Clinton 2019; Dyson &amp; Haselgrove 2000/2001; Delgado &amp; Salmerón 2021); none implement or test RSVP/speed-reading-app-style pacing.</t>
        </is>
      </c>
      <c r="D4" s="2" t="inlineStr">
        <is>
          <t>Add an RSVP/phrase-chunked pacing condition (e.g., a Spritz-style word-flash or phrase-by-phrase reveal) compared against static self-paced text, ideally crossed with reading goal (skim vs deep-learn) since the mechanism (WM load vs attentional guidance) likely differs by goal.</t>
        </is>
      </c>
    </row>
    <row r="5" ht="90" customHeight="1">
      <c r="A5" s="2" t="inlineStr">
        <is>
          <t>Visual axes (V1/V2) rarely crossed with reader-profile moderators</t>
        </is>
      </c>
      <c r="B5" s="2" t="inlineStr">
        <is>
          <t>The model's own citation (Wallace et al. 2022b: spacing affects speed more than word spacing, faster readers slowed by wide spacing, r=-0.38) implies spacing effects depend on reader skill/speed — yet almost no paper in the corpus tests V1/V2 manipulations against dyslexia, visual-attention span, or L2 status as a moderator.</t>
        </is>
      </c>
      <c r="C5" s="2" t="inlineStr">
        <is>
          <t>Only Richardson (2022, 978-3-030-90984-0) and Tinker (1963) even mention dyslexia/vision/age as moderators, and both are reviews, not new experiments; the interletter-spacing study (Kristjánsdóttir &amp; Gunnarsson 2024) explicitly flags this absence in its own gap note.</t>
        </is>
      </c>
      <c r="D5" s="2" t="inlineStr">
        <is>
          <t>Prioritize a spacing x reader-profile factorial (e.g., typical vs dyslexic readers, or fast vs slow readers per Wallace et al.) to test whether the model's Layer C moderation of Layer A knobs actually holds for spacing specifically, not just font choice.</t>
        </is>
      </c>
    </row>
    <row r="6" ht="90" customHeight="1">
      <c r="A6" s="2" t="inlineStr">
        <is>
          <t>Layer D adaptation policy is proposed but never empirically compared</t>
        </is>
      </c>
      <c r="B6" s="2" t="inlineStr">
        <is>
          <t>Every paper that reaches a design recommendation defaults to 'fixed population-wide setting' (e.g., 12pt font, 55-char line length) or, at most, a theme-based rule matched to task type. No paper empirically compares fixed vs theme-based vs individuated adaptation policies against each other on the same outcome.</t>
        </is>
      </c>
      <c r="C6" s="2" t="inlineStr">
        <is>
          <t>Adaptation-policy field across all 63 records: the overwhelming majority say 'fixed population default' or 'n/a'; only a handful (Toker et al. 2019; Chen/Guimbretiere/Sellen 2012 multi-slate) gesture toward individuated/theme-based policy, and none test it against a fixed baseline.</t>
        </is>
      </c>
      <c r="D6" s="2" t="inlineStr">
        <is>
          <t>A direct three-arm comparison (one fixed setting for everyone vs COR-style theme selection vs individually calibrated settings) on the same passage and outcome measure would let the model's Layer D policy claims be evaluated rather than asserted.</t>
        </is>
      </c>
    </row>
    <row r="7" ht="90" customHeight="1">
      <c r="A7" s="2" t="inlineStr">
        <is>
          <t>V6 navigation structure under-samples the tiered/collapsible end of its own range</t>
        </is>
      </c>
      <c r="B7" s="2" t="inlineStr">
        <is>
          <t>The model defines V6 as 'linear scroll &lt;-&gt; paginated &lt;-&gt; hyperlinked &lt;-&gt; tiered/collapsible.' The corpus's V6 papers cluster almost entirely on scroll-vs-paginate (Marcial &amp; Hemminger 2012; Dyson &amp; Haselgrove 2000) or hyperlink-vs-none (Duggan &amp; Payne 2009/2011; Fitzsimmons et al. 2014); none test tiered/collapsible (accordion/expand-collapse) navigation.</t>
        </is>
      </c>
      <c r="C7" s="2" t="inlineStr">
        <is>
          <t>22 of 63 papers (34.9%) touch V6, but a review of the High-rated subset shows zero studies of collapsible/accordion-style section disclosure, despite this being explicitly named in the model as a distinct navigation type.</t>
        </is>
      </c>
      <c r="D7" s="2" t="inlineStr">
        <is>
          <t>Test collapsible/accordion sections (reader expands only the subsection needed) against both full-scroll and paginated baselines for search and skim goals specifically, since this navigation style is common in modern documentation/FAQ UIs but unstudied here.</t>
        </is>
      </c>
    </row>
    <row r="8" ht="90" customHeight="1">
      <c r="A8" s="2" t="inlineStr">
        <is>
          <t>L6 Narrativity/genre recasting has almost no direct experimental evidence</t>
        </is>
      </c>
      <c r="B8" s="2" t="inlineStr">
        <is>
          <t>Only one paper (Endres et al. 2025, 'Type and Tale') directly recasts the *same* content as narrative vs expository and measures comprehension; a second (Clinton 2019) finds genre moderates the paper/screen effect but doesn't manipulate genre itself; a third (Narvaez et al. 1999) contrasts genres but not as a recasting of identical content.</t>
        </is>
      </c>
      <c r="C8" s="2" t="inlineStr">
        <is>
          <t>9 of 63 papers (14.3%) touch L6 at all, and only 2 reach 'High' — the thinnest empirical base of any L-axis dimension alongside L2/L4.</t>
        </is>
      </c>
      <c r="D8" s="2" t="inlineStr">
        <is>
          <t>Commission a small item-matched corpus (5-10 topics, each written twice: once narrative, once expository, holding L1-L4 constant) to build a reusable stimulus set for future narrativity studies — the missing infrastructure, not just missing data.</t>
        </is>
      </c>
    </row>
    <row r="9" ht="90" customHeight="1">
      <c r="A9" s="2" t="inlineStr">
        <is>
          <t>Single-axis isolation dominates; V x V and V x L interaction studies are rare</t>
        </is>
      </c>
      <c r="B9" s="2" t="inlineStr">
        <is>
          <t>The large majority of papers manipulate exactly one V or L dimension in isolation (e.g., font size alone, line spacing alone, headings alone). Studies that cross two axes (e.g., font legibility x heading presence, or spacing x compression) are rare, so the model's implicit claim that dimensions combine (additively or interactively) to shape readability is untested.</t>
        </is>
      </c>
      <c r="C9" s="2" t="inlineStr">
        <is>
          <t>Across the corpus, multi-dimension 'High' ratings (2+ dimensions both High) appear in fewer than 10 of 63 records (e.g., Soleimani &amp; Mohammadi 2012: V1+V2; Chan &amp; Ng manuscript: V2+V6; Endres et al. 2025: V2+L6) — most papers are single-axis.</t>
        </is>
      </c>
      <c r="D9" s="2" t="inlineStr">
        <is>
          <t>Prioritize 2x2 (or larger) factorial designs crossing a visual axis with a linguistic axis (e.g., V5 heading-chunking x L3 cohesion revision) to test whether the model's mediating mechanisms (macrostructure construction, WM load) are shared or independent across Layer A knobs.</t>
        </is>
      </c>
    </row>
    <row r="10" ht="90" customHeight="1">
      <c r="A10" s="2" t="inlineStr">
        <is>
          <t>Reading goal = 'pleasure/leisure' is essentially unstudied</t>
        </is>
      </c>
      <c r="B10" s="2" t="inlineStr">
        <is>
          <t>Of the Rouet/Choo reading-goal taxonomy (glanceable/skim/search/deep/learn/proofread/pleasure) named in the model, every paper in this corpus studies skim, search, deep/learn, or proofread goals — none studies pleasure/leisure reading as the target goal.</t>
        </is>
      </c>
      <c r="C10" s="2" t="inlineStr">
        <is>
          <t>Zero papers across all four folders frame their task as leisure/pleasure reading; even the narrative-text papers (Narvaez et al. 1999; Endres et al. 2025) study narrative content under a study/learning goal, not a pleasure-reading goal.</t>
        </is>
      </c>
      <c r="D10" s="2" t="inlineStr">
        <is>
          <t>Add a pleasure-reading condition (e.g., free voluntary reading of a short story with no comprehension test pending) to test whether V/L levers that help skim or search goals (headings, compression, spacing) help, hurt, or are irrelevant to enjoyment-driven reading.</t>
        </is>
      </c>
    </row>
    <row r="11" ht="90" customHeight="1">
      <c r="A11" s="2" t="inlineStr">
        <is>
          <t>Mechanism-level (Layer B) evidence is thin relative to outcome-level evidence</t>
        </is>
      </c>
      <c r="B11" s="2" t="inlineStr">
        <is>
          <t>Most papers report only outcome measures (reading speed, comprehension score, error-detection rate) without the eye-tracking/fixation-level data that would let a mediating mechanism (crowding relief, attentional guidance, WM load, macrostructure construction, lexical access) actually be verified rather than assumed.</t>
        </is>
      </c>
      <c r="C11" s="2" t="inlineStr">
        <is>
          <t>Of 63 papers, only a minority use eye-tracking or fixation/saccade metrics as dependent variables (e.g., Fisher 1975; lt2017-6580 Huang Dandan 2017; Duggan &amp; Payne 2009/2011; Hyönä/Lorch/Kaakinen 2002; Soltan et al. 2025) — most V1/V2 typography studies (Tinker 1963; Beymer et al. 2008; Oppenheimer et al. 2010) report only speed/comprehension outcomes.</t>
        </is>
      </c>
      <c r="D11" s="2" t="inlineStr">
        <is>
          <t>Where feasible, pair every outcome-level readability manipulation with at least one mechanism-level measure (fixation duration, regression rate, or a validated cognitive-load probe) so the model's Layer B mechanisms can be tested rather than inferred post hoc.</t>
        </is>
      </c>
    </row>
    <row r="12" ht="90" customHeight="1">
      <c r="A12" s="2" t="inlineStr">
        <is>
          <t>Folder-level imbalance: L-axis manipulation is concentrated unevenly, thinnest in Proofreading</t>
        </is>
      </c>
      <c r="B12" s="2" t="inlineStr">
        <is>
          <t>Comprehension folder papers rarely combine two manipulated dimensions in one study (many are theoretical/review); Proofreading folder is strong on V1/V2/V6 but only 2 of its 11 papers touch any L-dimension above 'Low', and both only incidentally; Search folder is strong on V6/V3 with only 3 of 10 papers touching L3/L4/L5 (mostly one paper, Rouet et al.); Skimming folder carries the largest share of L5 (headings) and L6 (narrativity) evidence but even there coverage is thin (4 of the corpus's 9 L6-touching papers, 2 of the corpus's 5 L5-'High' papers).</t>
        </is>
      </c>
      <c r="C12" s="2" t="inlineStr">
        <is>
          <t>By folder: Comprehension has 2/13 papers with two or more 'High' V/L ratings in the same study; Proofreading has 2/11 papers touching any L-dimension above 'Low' (both incidental, not central manipulations); Search has 3/10 papers touching L3/L4/L5 (concentrated in Rouet et al. ~2001); Skimming holds 4/9 corpus-wide L6-touching papers and 2/5 corpus-wide L5-'High' papers.</t>
        </is>
      </c>
      <c r="D12" s="2" t="inlineStr">
        <is>
          <t>Deliberately commission proofreading and search studies that pair a visual manipulation (already well-studied in those folders) with a rhetorical-scaffolding or cohesion manipulation (thin everywhere, best-represented in Skimming), to close the cross-folder gap rather than only adding more single-axis studies within the already-strong folder.</t>
        </is>
      </c>
    </row>
  </sheetData>
  <autoFilter ref="A1:D1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2026-07-20T02:27:13Z</dcterms:created>
  <dcterms:modified xmlns:dcterms="http://purl.org/dc/terms/" xmlns:xsi="http://www.w3.org/2001/XMLSchema-instance" xsi:type="dcterms:W3CDTF">2026-07-20T02:27:13Z</dcterms:modified>
</cp:coreProperties>
</file>